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dminv4\writable\uploads\BookfairReports\"/>
    </mc:Choice>
  </mc:AlternateContent>
  <xr:revisionPtr revIDLastSave="0" documentId="13_ncr:1_{99A84091-B74C-4ADC-9916-C91B9A8E4805}" xr6:coauthVersionLast="47" xr6:coauthVersionMax="47" xr10:uidLastSave="{00000000-0000-0000-0000-000000000000}"/>
  <bookViews>
    <workbookView xWindow="-100" yWindow="-100" windowWidth="21467" windowHeight="11576" activeTab="2" xr2:uid="{00000000-000D-0000-FFFF-FFFF00000000}"/>
  </bookViews>
  <sheets>
    <sheet name="Summary" sheetId="3" r:id="rId1"/>
    <sheet name="Packing list" sheetId="1" r:id="rId2"/>
    <sheet name="Sheet2" sheetId="5" r:id="rId3"/>
  </sheets>
  <definedNames>
    <definedName name="_xlnm._FilterDatabase" localSheetId="1" hidden="1">'Packing list'!$A$1:$L$1128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27" i="1" l="1"/>
  <c r="R1126" i="1"/>
  <c r="R1125" i="1"/>
  <c r="R1123" i="1"/>
  <c r="R1121" i="1"/>
  <c r="R1120" i="1"/>
  <c r="R1119" i="1"/>
  <c r="R1118" i="1"/>
  <c r="R1117" i="1"/>
  <c r="R1114" i="1"/>
  <c r="R1113" i="1"/>
  <c r="R1112" i="1"/>
  <c r="R1110" i="1"/>
  <c r="R1108" i="1"/>
  <c r="R1107" i="1"/>
  <c r="R1105" i="1"/>
  <c r="R1104" i="1"/>
  <c r="R1101" i="1"/>
  <c r="R1100" i="1"/>
  <c r="R1099" i="1"/>
  <c r="R1098" i="1"/>
  <c r="R1096" i="1"/>
  <c r="R1095" i="1"/>
  <c r="R1092" i="1"/>
  <c r="R1091" i="1"/>
  <c r="R1090" i="1"/>
  <c r="R1089" i="1"/>
  <c r="R1087" i="1"/>
  <c r="R1085" i="1"/>
  <c r="R1082" i="1"/>
  <c r="R1080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7" i="1"/>
  <c r="R1053" i="1"/>
  <c r="R1049" i="1"/>
  <c r="R1048" i="1"/>
  <c r="R1044" i="1"/>
  <c r="R1043" i="1"/>
  <c r="R1041" i="1"/>
  <c r="R1040" i="1"/>
  <c r="R1037" i="1"/>
  <c r="R1035" i="1"/>
  <c r="R1034" i="1"/>
  <c r="R1030" i="1"/>
  <c r="R1029" i="1"/>
  <c r="R1028" i="1"/>
  <c r="R1026" i="1"/>
  <c r="R1025" i="1"/>
  <c r="R1024" i="1"/>
  <c r="R1020" i="1"/>
  <c r="R1019" i="1"/>
  <c r="R1014" i="1"/>
  <c r="R1012" i="1"/>
  <c r="R1010" i="1"/>
  <c r="R1007" i="1"/>
  <c r="R1005" i="1"/>
  <c r="R993" i="1"/>
  <c r="R991" i="1"/>
  <c r="R986" i="1"/>
  <c r="R985" i="1"/>
  <c r="R979" i="1"/>
  <c r="R975" i="1"/>
  <c r="R973" i="1"/>
  <c r="R956" i="1"/>
  <c r="R955" i="1"/>
  <c r="R953" i="1"/>
  <c r="R951" i="1"/>
  <c r="R949" i="1"/>
  <c r="R948" i="1"/>
  <c r="R947" i="1"/>
  <c r="R946" i="1"/>
  <c r="R945" i="1"/>
  <c r="R942" i="1"/>
  <c r="R939" i="1"/>
  <c r="R937" i="1"/>
  <c r="R936" i="1"/>
  <c r="R935" i="1"/>
  <c r="R931" i="1"/>
  <c r="R930" i="1"/>
  <c r="R929" i="1"/>
  <c r="R925" i="1"/>
  <c r="R922" i="1"/>
  <c r="R921" i="1"/>
  <c r="R917" i="1"/>
  <c r="R915" i="1"/>
  <c r="R912" i="1"/>
  <c r="R911" i="1"/>
  <c r="R909" i="1"/>
  <c r="R906" i="1"/>
  <c r="R904" i="1"/>
  <c r="R903" i="1"/>
  <c r="R901" i="1"/>
  <c r="R894" i="1"/>
  <c r="R892" i="1"/>
  <c r="R883" i="1"/>
  <c r="R873" i="1"/>
  <c r="R870" i="1"/>
  <c r="R868" i="1"/>
  <c r="R867" i="1"/>
  <c r="R864" i="1"/>
  <c r="R863" i="1"/>
  <c r="R861" i="1"/>
  <c r="R858" i="1"/>
  <c r="R857" i="1"/>
  <c r="R856" i="1"/>
  <c r="R853" i="1"/>
  <c r="R851" i="1"/>
  <c r="R849" i="1"/>
  <c r="R847" i="1"/>
  <c r="R846" i="1"/>
  <c r="R845" i="1"/>
  <c r="R843" i="1"/>
  <c r="R842" i="1"/>
  <c r="R841" i="1"/>
  <c r="R840" i="1"/>
  <c r="R839" i="1"/>
  <c r="R834" i="1"/>
  <c r="R833" i="1"/>
  <c r="R832" i="1"/>
  <c r="R831" i="1"/>
  <c r="R830" i="1"/>
  <c r="R829" i="1"/>
  <c r="R828" i="1"/>
  <c r="R827" i="1"/>
  <c r="R826" i="1"/>
  <c r="R825" i="1"/>
  <c r="R823" i="1"/>
  <c r="R822" i="1"/>
  <c r="R821" i="1"/>
  <c r="R819" i="1"/>
  <c r="R818" i="1"/>
  <c r="R816" i="1"/>
  <c r="R814" i="1"/>
  <c r="R811" i="1"/>
  <c r="R809" i="1"/>
  <c r="R808" i="1"/>
  <c r="R806" i="1"/>
  <c r="R804" i="1"/>
  <c r="R803" i="1"/>
  <c r="R802" i="1"/>
  <c r="R796" i="1"/>
  <c r="R794" i="1"/>
  <c r="R793" i="1"/>
  <c r="R792" i="1"/>
  <c r="R790" i="1"/>
  <c r="R788" i="1"/>
  <c r="R787" i="1"/>
  <c r="R785" i="1"/>
  <c r="R784" i="1"/>
  <c r="R782" i="1"/>
  <c r="R781" i="1"/>
  <c r="R779" i="1"/>
  <c r="R778" i="1"/>
  <c r="R776" i="1"/>
  <c r="R775" i="1"/>
  <c r="R771" i="1"/>
  <c r="R770" i="1"/>
  <c r="R769" i="1"/>
  <c r="R768" i="1"/>
  <c r="R767" i="1"/>
  <c r="R766" i="1"/>
  <c r="R765" i="1"/>
  <c r="R764" i="1"/>
  <c r="R762" i="1"/>
  <c r="R761" i="1"/>
  <c r="R760" i="1"/>
  <c r="R759" i="1"/>
  <c r="R758" i="1"/>
  <c r="R757" i="1"/>
  <c r="R756" i="1"/>
  <c r="R753" i="1"/>
  <c r="R751" i="1"/>
  <c r="R749" i="1"/>
  <c r="R747" i="1"/>
  <c r="R746" i="1"/>
  <c r="R745" i="1"/>
  <c r="R742" i="1"/>
  <c r="R741" i="1"/>
  <c r="R739" i="1"/>
  <c r="R738" i="1"/>
  <c r="R736" i="1"/>
  <c r="R735" i="1"/>
  <c r="R733" i="1"/>
  <c r="R732" i="1"/>
  <c r="R731" i="1"/>
  <c r="R729" i="1"/>
  <c r="R728" i="1"/>
  <c r="R727" i="1"/>
  <c r="R724" i="1"/>
  <c r="R723" i="1"/>
  <c r="R721" i="1"/>
  <c r="R716" i="1"/>
  <c r="R715" i="1"/>
  <c r="R714" i="1"/>
  <c r="R711" i="1"/>
  <c r="R710" i="1"/>
  <c r="R706" i="1"/>
  <c r="R705" i="1"/>
  <c r="R704" i="1"/>
  <c r="R700" i="1"/>
  <c r="R699" i="1"/>
  <c r="R698" i="1"/>
  <c r="R674" i="1"/>
  <c r="R673" i="1"/>
  <c r="R671" i="1"/>
  <c r="R670" i="1"/>
  <c r="R668" i="1"/>
  <c r="R656" i="1"/>
  <c r="R652" i="1"/>
  <c r="R650" i="1"/>
  <c r="R649" i="1"/>
  <c r="R643" i="1"/>
  <c r="R639" i="1"/>
  <c r="R637" i="1"/>
  <c r="R636" i="1"/>
  <c r="R634" i="1"/>
  <c r="R633" i="1"/>
  <c r="R631" i="1"/>
  <c r="R628" i="1"/>
  <c r="R623" i="1"/>
  <c r="R622" i="1"/>
  <c r="R621" i="1"/>
  <c r="R620" i="1"/>
  <c r="R616" i="1"/>
  <c r="R615" i="1"/>
  <c r="R614" i="1"/>
  <c r="R609" i="1"/>
  <c r="R600" i="1"/>
  <c r="R598" i="1"/>
  <c r="R597" i="1"/>
  <c r="R582" i="1"/>
  <c r="R581" i="1"/>
  <c r="R580" i="1"/>
  <c r="R579" i="1"/>
  <c r="R578" i="1"/>
  <c r="R577" i="1"/>
  <c r="R573" i="1"/>
  <c r="R567" i="1"/>
  <c r="R565" i="1"/>
  <c r="R562" i="1"/>
  <c r="R557" i="1"/>
  <c r="R555" i="1"/>
  <c r="R554" i="1"/>
  <c r="R547" i="1"/>
  <c r="R545" i="1"/>
  <c r="R540" i="1"/>
  <c r="R538" i="1"/>
  <c r="R526" i="1"/>
  <c r="R525" i="1"/>
  <c r="R524" i="1"/>
  <c r="R523" i="1"/>
  <c r="R522" i="1"/>
  <c r="R520" i="1"/>
  <c r="R515" i="1"/>
  <c r="R514" i="1"/>
  <c r="R513" i="1"/>
  <c r="R512" i="1"/>
  <c r="R511" i="1"/>
  <c r="R509" i="1"/>
  <c r="R507" i="1"/>
  <c r="R506" i="1"/>
  <c r="R505" i="1"/>
  <c r="R503" i="1"/>
  <c r="R500" i="1"/>
  <c r="R499" i="1"/>
  <c r="R497" i="1"/>
  <c r="R496" i="1"/>
  <c r="R495" i="1"/>
  <c r="R491" i="1"/>
  <c r="R490" i="1"/>
  <c r="R489" i="1"/>
  <c r="R487" i="1"/>
  <c r="R486" i="1"/>
  <c r="R485" i="1"/>
  <c r="R483" i="1"/>
  <c r="R478" i="1"/>
  <c r="R477" i="1"/>
  <c r="R474" i="1"/>
  <c r="R471" i="1"/>
  <c r="R469" i="1"/>
  <c r="R468" i="1"/>
  <c r="R467" i="1"/>
  <c r="R465" i="1"/>
  <c r="R461" i="1"/>
  <c r="R453" i="1"/>
  <c r="R452" i="1"/>
  <c r="R449" i="1"/>
  <c r="R448" i="1"/>
  <c r="R443" i="1"/>
  <c r="R442" i="1"/>
  <c r="R438" i="1"/>
  <c r="R432" i="1"/>
  <c r="R430" i="1"/>
  <c r="R425" i="1"/>
  <c r="R424" i="1"/>
  <c r="R419" i="1"/>
  <c r="R416" i="1"/>
  <c r="R412" i="1"/>
  <c r="R411" i="1"/>
  <c r="R410" i="1"/>
  <c r="R409" i="1"/>
  <c r="R404" i="1"/>
  <c r="R400" i="1"/>
  <c r="R399" i="1"/>
  <c r="R398" i="1"/>
  <c r="R396" i="1"/>
  <c r="R394" i="1"/>
  <c r="R393" i="1"/>
  <c r="R390" i="1"/>
  <c r="R386" i="1"/>
  <c r="R381" i="1"/>
  <c r="R365" i="1"/>
  <c r="R359" i="1"/>
  <c r="R352" i="1"/>
  <c r="R349" i="1"/>
  <c r="R348" i="1"/>
  <c r="R347" i="1"/>
  <c r="R346" i="1"/>
  <c r="R345" i="1"/>
  <c r="R344" i="1"/>
  <c r="R343" i="1"/>
  <c r="R341" i="1"/>
  <c r="R340" i="1"/>
  <c r="R339" i="1"/>
  <c r="R338" i="1"/>
  <c r="R333" i="1"/>
  <c r="R332" i="1"/>
  <c r="R330" i="1"/>
  <c r="R329" i="1"/>
  <c r="R328" i="1"/>
  <c r="R325" i="1"/>
  <c r="R320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3" i="1"/>
  <c r="R282" i="1"/>
  <c r="R279" i="1"/>
  <c r="R278" i="1"/>
  <c r="R277" i="1"/>
  <c r="R267" i="1"/>
  <c r="R264" i="1"/>
  <c r="R262" i="1"/>
  <c r="R258" i="1"/>
  <c r="R231" i="1"/>
  <c r="R229" i="1"/>
  <c r="R227" i="1"/>
  <c r="R226" i="1"/>
  <c r="R224" i="1"/>
  <c r="R223" i="1"/>
  <c r="R211" i="1"/>
  <c r="R210" i="1"/>
  <c r="R209" i="1"/>
  <c r="R208" i="1"/>
  <c r="R197" i="1"/>
  <c r="R187" i="1"/>
  <c r="R182" i="1"/>
  <c r="R181" i="1"/>
  <c r="R163" i="1"/>
  <c r="R162" i="1"/>
  <c r="R160" i="1"/>
  <c r="R158" i="1"/>
  <c r="R157" i="1"/>
  <c r="R156" i="1"/>
  <c r="R155" i="1"/>
  <c r="R154" i="1"/>
  <c r="R140" i="1"/>
  <c r="R135" i="1"/>
  <c r="R133" i="1"/>
  <c r="R128" i="1"/>
  <c r="R123" i="1"/>
  <c r="R113" i="1"/>
  <c r="R112" i="1"/>
  <c r="R111" i="1"/>
  <c r="R106" i="1"/>
  <c r="R105" i="1"/>
  <c r="R104" i="1"/>
  <c r="R103" i="1"/>
  <c r="R102" i="1"/>
  <c r="R101" i="1"/>
  <c r="R99" i="1"/>
  <c r="R96" i="1"/>
  <c r="R95" i="1"/>
  <c r="R94" i="1"/>
  <c r="R93" i="1"/>
  <c r="R92" i="1"/>
  <c r="R91" i="1"/>
  <c r="R90" i="1"/>
  <c r="R89" i="1"/>
  <c r="R88" i="1"/>
  <c r="R85" i="1"/>
  <c r="R82" i="1"/>
  <c r="R80" i="1"/>
  <c r="R78" i="1"/>
  <c r="R75" i="1"/>
  <c r="R73" i="1"/>
  <c r="R72" i="1"/>
  <c r="R70" i="1"/>
  <c r="R69" i="1"/>
  <c r="R68" i="1"/>
  <c r="R67" i="1"/>
  <c r="R65" i="1"/>
  <c r="R63" i="1"/>
  <c r="R62" i="1"/>
  <c r="R61" i="1"/>
  <c r="R50" i="1"/>
  <c r="R49" i="1"/>
  <c r="R48" i="1"/>
  <c r="R47" i="1"/>
  <c r="R46" i="1"/>
  <c r="R45" i="1"/>
  <c r="R43" i="1"/>
  <c r="R40" i="1"/>
  <c r="R39" i="1"/>
  <c r="R38" i="1"/>
  <c r="R37" i="1"/>
  <c r="R35" i="1"/>
  <c r="R33" i="1"/>
  <c r="R31" i="1"/>
  <c r="R30" i="1"/>
  <c r="R29" i="1"/>
  <c r="R26" i="1"/>
  <c r="R25" i="1"/>
  <c r="R24" i="1"/>
  <c r="R23" i="1"/>
  <c r="R18" i="1"/>
  <c r="R17" i="1"/>
  <c r="R9" i="1"/>
  <c r="R7" i="1"/>
  <c r="R6" i="1"/>
  <c r="R5" i="1"/>
  <c r="R4" i="1"/>
  <c r="R3" i="1"/>
  <c r="M306" i="1"/>
  <c r="N463" i="1"/>
  <c r="M519" i="1"/>
  <c r="O613" i="1"/>
  <c r="M685" i="1"/>
  <c r="M714" i="1"/>
  <c r="N799" i="1"/>
  <c r="M827" i="1"/>
  <c r="M938" i="1"/>
  <c r="N957" i="1"/>
  <c r="N972" i="1"/>
  <c r="M986" i="1"/>
  <c r="N986" i="1" s="1"/>
  <c r="O993" i="1"/>
  <c r="M1015" i="1"/>
  <c r="N1021" i="1"/>
  <c r="N1036" i="1"/>
  <c r="M1050" i="1"/>
  <c r="N1050" i="1" s="1"/>
  <c r="O1057" i="1"/>
  <c r="M1079" i="1"/>
  <c r="N1085" i="1"/>
  <c r="N1100" i="1"/>
  <c r="M1114" i="1"/>
  <c r="N1114" i="1" s="1"/>
  <c r="O1121" i="1"/>
  <c r="C13" i="3"/>
  <c r="C8" i="3"/>
  <c r="C15" i="3" s="1"/>
  <c r="D7" i="3"/>
  <c r="C6" i="3"/>
  <c r="B6" i="3"/>
  <c r="C4" i="3"/>
  <c r="B4" i="3"/>
  <c r="C3" i="3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3" i="3"/>
  <c r="L1128" i="1"/>
  <c r="M1128" i="1" s="1"/>
  <c r="L1127" i="1"/>
  <c r="M1127" i="1" s="1"/>
  <c r="L1126" i="1"/>
  <c r="M1126" i="1" s="1"/>
  <c r="L1125" i="1"/>
  <c r="M1125" i="1" s="1"/>
  <c r="N1125" i="1" s="1"/>
  <c r="L1124" i="1"/>
  <c r="M1124" i="1" s="1"/>
  <c r="N1124" i="1" s="1"/>
  <c r="L1123" i="1"/>
  <c r="M1123" i="1" s="1"/>
  <c r="L1122" i="1"/>
  <c r="M1122" i="1" s="1"/>
  <c r="L1121" i="1"/>
  <c r="M1121" i="1" s="1"/>
  <c r="N1121" i="1" s="1"/>
  <c r="L1120" i="1"/>
  <c r="M1120" i="1" s="1"/>
  <c r="L1119" i="1"/>
  <c r="M1119" i="1" s="1"/>
  <c r="L1118" i="1"/>
  <c r="M1118" i="1" s="1"/>
  <c r="L1117" i="1"/>
  <c r="M1117" i="1" s="1"/>
  <c r="N1117" i="1" s="1"/>
  <c r="L1116" i="1"/>
  <c r="M1116" i="1" s="1"/>
  <c r="N1116" i="1" s="1"/>
  <c r="L1115" i="1"/>
  <c r="M1115" i="1" s="1"/>
  <c r="L1114" i="1"/>
  <c r="L1113" i="1"/>
  <c r="M1113" i="1" s="1"/>
  <c r="N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N1108" i="1" s="1"/>
  <c r="L1107" i="1"/>
  <c r="M1107" i="1" s="1"/>
  <c r="L1106" i="1"/>
  <c r="M1106" i="1" s="1"/>
  <c r="L1105" i="1"/>
  <c r="M1105" i="1" s="1"/>
  <c r="N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O1100" i="1" s="1"/>
  <c r="L1099" i="1"/>
  <c r="M1099" i="1" s="1"/>
  <c r="L1098" i="1"/>
  <c r="M1098" i="1" s="1"/>
  <c r="L1097" i="1"/>
  <c r="M1097" i="1" s="1"/>
  <c r="N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N1092" i="1" s="1"/>
  <c r="O1092" i="1" s="1"/>
  <c r="L1091" i="1"/>
  <c r="M1091" i="1" s="1"/>
  <c r="L1090" i="1"/>
  <c r="M1090" i="1" s="1"/>
  <c r="L1089" i="1"/>
  <c r="M1089" i="1" s="1"/>
  <c r="N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N1084" i="1" s="1"/>
  <c r="L1083" i="1"/>
  <c r="M1083" i="1" s="1"/>
  <c r="L1082" i="1"/>
  <c r="M1082" i="1" s="1"/>
  <c r="L1081" i="1"/>
  <c r="M1081" i="1" s="1"/>
  <c r="N1081" i="1" s="1"/>
  <c r="L1080" i="1"/>
  <c r="M1080" i="1" s="1"/>
  <c r="L1079" i="1"/>
  <c r="L1078" i="1"/>
  <c r="M1078" i="1" s="1"/>
  <c r="L1077" i="1"/>
  <c r="M1077" i="1" s="1"/>
  <c r="N1077" i="1" s="1"/>
  <c r="L1076" i="1"/>
  <c r="M1076" i="1" s="1"/>
  <c r="N1076" i="1" s="1"/>
  <c r="L1075" i="1"/>
  <c r="M1075" i="1" s="1"/>
  <c r="L1074" i="1"/>
  <c r="M1074" i="1" s="1"/>
  <c r="L1073" i="1"/>
  <c r="M1073" i="1" s="1"/>
  <c r="N1073" i="1" s="1"/>
  <c r="L1072" i="1"/>
  <c r="M1072" i="1" s="1"/>
  <c r="L1071" i="1"/>
  <c r="M1071" i="1" s="1"/>
  <c r="L1070" i="1"/>
  <c r="M1070" i="1" s="1"/>
  <c r="L1069" i="1"/>
  <c r="M1069" i="1" s="1"/>
  <c r="N1069" i="1" s="1"/>
  <c r="L1068" i="1"/>
  <c r="M1068" i="1" s="1"/>
  <c r="N1068" i="1" s="1"/>
  <c r="L1067" i="1"/>
  <c r="M1067" i="1" s="1"/>
  <c r="L1066" i="1"/>
  <c r="M1066" i="1" s="1"/>
  <c r="L1065" i="1"/>
  <c r="M1065" i="1" s="1"/>
  <c r="N1065" i="1" s="1"/>
  <c r="L1064" i="1"/>
  <c r="M1064" i="1" s="1"/>
  <c r="L1063" i="1"/>
  <c r="M1063" i="1" s="1"/>
  <c r="L1062" i="1"/>
  <c r="M1062" i="1" s="1"/>
  <c r="L1061" i="1"/>
  <c r="M1061" i="1" s="1"/>
  <c r="N1061" i="1" s="1"/>
  <c r="L1060" i="1"/>
  <c r="M1060" i="1" s="1"/>
  <c r="N1060" i="1" s="1"/>
  <c r="L1059" i="1"/>
  <c r="M1059" i="1" s="1"/>
  <c r="L1058" i="1"/>
  <c r="M1058" i="1" s="1"/>
  <c r="L1057" i="1"/>
  <c r="M1057" i="1" s="1"/>
  <c r="N1057" i="1" s="1"/>
  <c r="L1056" i="1"/>
  <c r="M1056" i="1" s="1"/>
  <c r="L1055" i="1"/>
  <c r="M1055" i="1" s="1"/>
  <c r="L1054" i="1"/>
  <c r="M1054" i="1" s="1"/>
  <c r="L1053" i="1"/>
  <c r="M1053" i="1" s="1"/>
  <c r="N1053" i="1" s="1"/>
  <c r="L1052" i="1"/>
  <c r="M1052" i="1" s="1"/>
  <c r="N1052" i="1" s="1"/>
  <c r="L1051" i="1"/>
  <c r="M1051" i="1" s="1"/>
  <c r="L1050" i="1"/>
  <c r="L1049" i="1"/>
  <c r="M1049" i="1" s="1"/>
  <c r="N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N1044" i="1" s="1"/>
  <c r="L1043" i="1"/>
  <c r="M1043" i="1" s="1"/>
  <c r="L1042" i="1"/>
  <c r="M1042" i="1" s="1"/>
  <c r="L1041" i="1"/>
  <c r="M1041" i="1" s="1"/>
  <c r="N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O1036" i="1" s="1"/>
  <c r="L1035" i="1"/>
  <c r="M1035" i="1" s="1"/>
  <c r="L1034" i="1"/>
  <c r="M1034" i="1" s="1"/>
  <c r="L1033" i="1"/>
  <c r="M1033" i="1" s="1"/>
  <c r="N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N1028" i="1" s="1"/>
  <c r="O1028" i="1" s="1"/>
  <c r="L1027" i="1"/>
  <c r="M1027" i="1" s="1"/>
  <c r="L1026" i="1"/>
  <c r="M1026" i="1" s="1"/>
  <c r="L1025" i="1"/>
  <c r="M1025" i="1" s="1"/>
  <c r="N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N1020" i="1" s="1"/>
  <c r="L1019" i="1"/>
  <c r="M1019" i="1" s="1"/>
  <c r="L1018" i="1"/>
  <c r="M1018" i="1" s="1"/>
  <c r="L1017" i="1"/>
  <c r="M1017" i="1" s="1"/>
  <c r="N1017" i="1" s="1"/>
  <c r="L1016" i="1"/>
  <c r="M1016" i="1" s="1"/>
  <c r="L1015" i="1"/>
  <c r="L1014" i="1"/>
  <c r="M1014" i="1" s="1"/>
  <c r="L1013" i="1"/>
  <c r="M1013" i="1" s="1"/>
  <c r="N1013" i="1" s="1"/>
  <c r="L1012" i="1"/>
  <c r="M1012" i="1" s="1"/>
  <c r="N1012" i="1" s="1"/>
  <c r="L1011" i="1"/>
  <c r="M1011" i="1" s="1"/>
  <c r="L1010" i="1"/>
  <c r="M1010" i="1" s="1"/>
  <c r="L1009" i="1"/>
  <c r="M1009" i="1" s="1"/>
  <c r="N1009" i="1" s="1"/>
  <c r="L1008" i="1"/>
  <c r="M1008" i="1" s="1"/>
  <c r="L1007" i="1"/>
  <c r="M1007" i="1" s="1"/>
  <c r="L1006" i="1"/>
  <c r="M1006" i="1" s="1"/>
  <c r="L1005" i="1"/>
  <c r="M1005" i="1" s="1"/>
  <c r="N1005" i="1" s="1"/>
  <c r="L1004" i="1"/>
  <c r="M1004" i="1" s="1"/>
  <c r="N1004" i="1" s="1"/>
  <c r="L1003" i="1"/>
  <c r="M1003" i="1" s="1"/>
  <c r="L1002" i="1"/>
  <c r="M1002" i="1" s="1"/>
  <c r="L1001" i="1"/>
  <c r="M1001" i="1" s="1"/>
  <c r="N1001" i="1" s="1"/>
  <c r="L1000" i="1"/>
  <c r="M1000" i="1" s="1"/>
  <c r="L999" i="1"/>
  <c r="M999" i="1" s="1"/>
  <c r="L998" i="1"/>
  <c r="M998" i="1" s="1"/>
  <c r="L997" i="1"/>
  <c r="M997" i="1" s="1"/>
  <c r="N997" i="1" s="1"/>
  <c r="L996" i="1"/>
  <c r="M996" i="1" s="1"/>
  <c r="N996" i="1" s="1"/>
  <c r="L995" i="1"/>
  <c r="M995" i="1" s="1"/>
  <c r="L994" i="1"/>
  <c r="M994" i="1" s="1"/>
  <c r="L993" i="1"/>
  <c r="M993" i="1" s="1"/>
  <c r="N993" i="1" s="1"/>
  <c r="L992" i="1"/>
  <c r="M992" i="1" s="1"/>
  <c r="L991" i="1"/>
  <c r="M991" i="1" s="1"/>
  <c r="L990" i="1"/>
  <c r="M990" i="1" s="1"/>
  <c r="L989" i="1"/>
  <c r="M989" i="1" s="1"/>
  <c r="N989" i="1" s="1"/>
  <c r="L988" i="1"/>
  <c r="M988" i="1" s="1"/>
  <c r="N988" i="1" s="1"/>
  <c r="L987" i="1"/>
  <c r="M987" i="1" s="1"/>
  <c r="L986" i="1"/>
  <c r="L985" i="1"/>
  <c r="M985" i="1" s="1"/>
  <c r="N985" i="1" s="1"/>
  <c r="L984" i="1"/>
  <c r="M984" i="1" s="1"/>
  <c r="L983" i="1"/>
  <c r="M983" i="1" s="1"/>
  <c r="L982" i="1"/>
  <c r="M982" i="1" s="1"/>
  <c r="L981" i="1"/>
  <c r="M981" i="1" s="1"/>
  <c r="L980" i="1"/>
  <c r="M980" i="1" s="1"/>
  <c r="N980" i="1" s="1"/>
  <c r="L979" i="1"/>
  <c r="M979" i="1" s="1"/>
  <c r="L978" i="1"/>
  <c r="M978" i="1" s="1"/>
  <c r="L977" i="1"/>
  <c r="M977" i="1" s="1"/>
  <c r="N977" i="1" s="1"/>
  <c r="L976" i="1"/>
  <c r="M976" i="1" s="1"/>
  <c r="L975" i="1"/>
  <c r="M975" i="1" s="1"/>
  <c r="L974" i="1"/>
  <c r="M974" i="1" s="1"/>
  <c r="L973" i="1"/>
  <c r="M973" i="1" s="1"/>
  <c r="L972" i="1"/>
  <c r="M972" i="1" s="1"/>
  <c r="O972" i="1" s="1"/>
  <c r="L971" i="1"/>
  <c r="M971" i="1" s="1"/>
  <c r="L970" i="1"/>
  <c r="M970" i="1" s="1"/>
  <c r="L969" i="1"/>
  <c r="M969" i="1" s="1"/>
  <c r="N969" i="1" s="1"/>
  <c r="L968" i="1"/>
  <c r="M968" i="1" s="1"/>
  <c r="L967" i="1"/>
  <c r="M967" i="1" s="1"/>
  <c r="L966" i="1"/>
  <c r="M966" i="1" s="1"/>
  <c r="L965" i="1"/>
  <c r="M965" i="1" s="1"/>
  <c r="L964" i="1"/>
  <c r="M964" i="1" s="1"/>
  <c r="N964" i="1" s="1"/>
  <c r="O964" i="1" s="1"/>
  <c r="L963" i="1"/>
  <c r="M963" i="1" s="1"/>
  <c r="L962" i="1"/>
  <c r="M962" i="1" s="1"/>
  <c r="L961" i="1"/>
  <c r="M961" i="1" s="1"/>
  <c r="N961" i="1" s="1"/>
  <c r="L960" i="1"/>
  <c r="M960" i="1" s="1"/>
  <c r="L959" i="1"/>
  <c r="M959" i="1" s="1"/>
  <c r="L958" i="1"/>
  <c r="M958" i="1" s="1"/>
  <c r="L957" i="1"/>
  <c r="M957" i="1" s="1"/>
  <c r="L956" i="1"/>
  <c r="M956" i="1" s="1"/>
  <c r="N956" i="1" s="1"/>
  <c r="L955" i="1"/>
  <c r="M955" i="1" s="1"/>
  <c r="L954" i="1"/>
  <c r="M954" i="1" s="1"/>
  <c r="L953" i="1"/>
  <c r="M953" i="1" s="1"/>
  <c r="N953" i="1" s="1"/>
  <c r="L952" i="1"/>
  <c r="M952" i="1" s="1"/>
  <c r="L951" i="1"/>
  <c r="M951" i="1" s="1"/>
  <c r="L950" i="1"/>
  <c r="M950" i="1" s="1"/>
  <c r="L949" i="1"/>
  <c r="M949" i="1" s="1"/>
  <c r="L948" i="1"/>
  <c r="M948" i="1" s="1"/>
  <c r="N948" i="1" s="1"/>
  <c r="O948" i="1" s="1"/>
  <c r="L947" i="1"/>
  <c r="M947" i="1" s="1"/>
  <c r="L946" i="1"/>
  <c r="M946" i="1" s="1"/>
  <c r="L945" i="1"/>
  <c r="M945" i="1" s="1"/>
  <c r="N945" i="1" s="1"/>
  <c r="L944" i="1"/>
  <c r="M944" i="1" s="1"/>
  <c r="L943" i="1"/>
  <c r="M943" i="1" s="1"/>
  <c r="L942" i="1"/>
  <c r="M942" i="1" s="1"/>
  <c r="L941" i="1"/>
  <c r="M941" i="1" s="1"/>
  <c r="L940" i="1"/>
  <c r="M940" i="1" s="1"/>
  <c r="N940" i="1" s="1"/>
  <c r="L939" i="1"/>
  <c r="M939" i="1" s="1"/>
  <c r="L938" i="1"/>
  <c r="L937" i="1"/>
  <c r="M937" i="1" s="1"/>
  <c r="N937" i="1" s="1"/>
  <c r="L936" i="1"/>
  <c r="M936" i="1" s="1"/>
  <c r="L935" i="1"/>
  <c r="M935" i="1" s="1"/>
  <c r="L934" i="1"/>
  <c r="M934" i="1" s="1"/>
  <c r="L933" i="1"/>
  <c r="M933" i="1" s="1"/>
  <c r="L932" i="1"/>
  <c r="M932" i="1" s="1"/>
  <c r="N932" i="1" s="1"/>
  <c r="L931" i="1"/>
  <c r="M931" i="1" s="1"/>
  <c r="L930" i="1"/>
  <c r="M930" i="1" s="1"/>
  <c r="L929" i="1"/>
  <c r="M929" i="1" s="1"/>
  <c r="N929" i="1" s="1"/>
  <c r="L928" i="1"/>
  <c r="M928" i="1" s="1"/>
  <c r="L927" i="1"/>
  <c r="M927" i="1" s="1"/>
  <c r="L926" i="1"/>
  <c r="M926" i="1" s="1"/>
  <c r="L925" i="1"/>
  <c r="M925" i="1" s="1"/>
  <c r="L924" i="1"/>
  <c r="M924" i="1" s="1"/>
  <c r="N924" i="1" s="1"/>
  <c r="L923" i="1"/>
  <c r="M923" i="1" s="1"/>
  <c r="L922" i="1"/>
  <c r="M922" i="1" s="1"/>
  <c r="L921" i="1"/>
  <c r="M921" i="1" s="1"/>
  <c r="N921" i="1" s="1"/>
  <c r="L920" i="1"/>
  <c r="M920" i="1" s="1"/>
  <c r="L919" i="1"/>
  <c r="M919" i="1" s="1"/>
  <c r="L918" i="1"/>
  <c r="M918" i="1" s="1"/>
  <c r="L917" i="1"/>
  <c r="M917" i="1" s="1"/>
  <c r="L916" i="1"/>
  <c r="M916" i="1" s="1"/>
  <c r="N916" i="1" s="1"/>
  <c r="O916" i="1" s="1"/>
  <c r="L915" i="1"/>
  <c r="M915" i="1" s="1"/>
  <c r="L914" i="1"/>
  <c r="M914" i="1" s="1"/>
  <c r="L913" i="1"/>
  <c r="M913" i="1" s="1"/>
  <c r="N913" i="1" s="1"/>
  <c r="L912" i="1"/>
  <c r="M912" i="1" s="1"/>
  <c r="L911" i="1"/>
  <c r="M911" i="1" s="1"/>
  <c r="L910" i="1"/>
  <c r="M910" i="1" s="1"/>
  <c r="N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N903" i="1" s="1"/>
  <c r="O903" i="1" s="1"/>
  <c r="L902" i="1"/>
  <c r="M902" i="1" s="1"/>
  <c r="L901" i="1"/>
  <c r="M901" i="1" s="1"/>
  <c r="L900" i="1"/>
  <c r="M900" i="1" s="1"/>
  <c r="L899" i="1"/>
  <c r="M899" i="1" s="1"/>
  <c r="N899" i="1" s="1"/>
  <c r="L898" i="1"/>
  <c r="M898" i="1" s="1"/>
  <c r="L897" i="1"/>
  <c r="M897" i="1" s="1"/>
  <c r="L896" i="1"/>
  <c r="M896" i="1" s="1"/>
  <c r="N896" i="1" s="1"/>
  <c r="L895" i="1"/>
  <c r="M895" i="1" s="1"/>
  <c r="L894" i="1"/>
  <c r="M894" i="1" s="1"/>
  <c r="L893" i="1"/>
  <c r="M893" i="1" s="1"/>
  <c r="L892" i="1"/>
  <c r="M892" i="1" s="1"/>
  <c r="N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N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N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N871" i="1" s="1"/>
  <c r="L870" i="1"/>
  <c r="M870" i="1" s="1"/>
  <c r="L869" i="1"/>
  <c r="M869" i="1" s="1"/>
  <c r="L868" i="1"/>
  <c r="M868" i="1" s="1"/>
  <c r="L867" i="1"/>
  <c r="M867" i="1" s="1"/>
  <c r="N867" i="1" s="1"/>
  <c r="L866" i="1"/>
  <c r="M866" i="1" s="1"/>
  <c r="L865" i="1"/>
  <c r="M865" i="1" s="1"/>
  <c r="L864" i="1"/>
  <c r="M864" i="1" s="1"/>
  <c r="L863" i="1"/>
  <c r="M863" i="1" s="1"/>
  <c r="N863" i="1" s="1"/>
  <c r="L862" i="1"/>
  <c r="M862" i="1" s="1"/>
  <c r="L861" i="1"/>
  <c r="M861" i="1" s="1"/>
  <c r="N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N855" i="1" s="1"/>
  <c r="O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N848" i="1" s="1"/>
  <c r="L847" i="1"/>
  <c r="M847" i="1" s="1"/>
  <c r="N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L826" i="1"/>
  <c r="M826" i="1" s="1"/>
  <c r="N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N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N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N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N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N784" i="1" s="1"/>
  <c r="L783" i="1"/>
  <c r="M783" i="1" s="1"/>
  <c r="N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N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N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N735" i="1" s="1"/>
  <c r="L734" i="1"/>
  <c r="M734" i="1" s="1"/>
  <c r="L733" i="1"/>
  <c r="M733" i="1" s="1"/>
  <c r="N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N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N719" i="1" s="1"/>
  <c r="L718" i="1"/>
  <c r="M718" i="1" s="1"/>
  <c r="L717" i="1"/>
  <c r="M717" i="1" s="1"/>
  <c r="L716" i="1"/>
  <c r="M716" i="1" s="1"/>
  <c r="L715" i="1"/>
  <c r="M715" i="1" s="1"/>
  <c r="L714" i="1"/>
  <c r="L713" i="1"/>
  <c r="M713" i="1" s="1"/>
  <c r="L712" i="1"/>
  <c r="M712" i="1" s="1"/>
  <c r="N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N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L684" i="1"/>
  <c r="M684" i="1" s="1"/>
  <c r="N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N671" i="1" s="1"/>
  <c r="L670" i="1"/>
  <c r="M670" i="1" s="1"/>
  <c r="L669" i="1"/>
  <c r="M669" i="1" s="1"/>
  <c r="N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N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N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N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N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N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N589" i="1" s="1"/>
  <c r="L588" i="1"/>
  <c r="M588" i="1" s="1"/>
  <c r="N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N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N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N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L518" i="1"/>
  <c r="M518" i="1" s="1"/>
  <c r="L517" i="1"/>
  <c r="M517" i="1" s="1"/>
  <c r="N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N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N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N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N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N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N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L305" i="1"/>
  <c r="M305" i="1" s="1"/>
  <c r="L304" i="1"/>
  <c r="M304" i="1" s="1"/>
  <c r="L303" i="1"/>
  <c r="M303" i="1" s="1"/>
  <c r="N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N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N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N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  <c r="N274" i="1" l="1"/>
  <c r="O274" i="1" s="1"/>
  <c r="O770" i="1"/>
  <c r="N770" i="1"/>
  <c r="N1090" i="1"/>
  <c r="O1090" i="1"/>
  <c r="N167" i="1"/>
  <c r="O167" i="1"/>
  <c r="N335" i="1"/>
  <c r="O335" i="1" s="1"/>
  <c r="O359" i="1"/>
  <c r="N359" i="1"/>
  <c r="N399" i="1"/>
  <c r="O399" i="1" s="1"/>
  <c r="N503" i="1"/>
  <c r="O503" i="1" s="1"/>
  <c r="O543" i="1"/>
  <c r="N543" i="1"/>
  <c r="O567" i="1"/>
  <c r="N567" i="1"/>
  <c r="N623" i="1"/>
  <c r="O623" i="1" s="1"/>
  <c r="N919" i="1"/>
  <c r="O919" i="1" s="1"/>
  <c r="O927" i="1"/>
  <c r="N927" i="1"/>
  <c r="O935" i="1"/>
  <c r="N935" i="1"/>
  <c r="N943" i="1"/>
  <c r="O943" i="1" s="1"/>
  <c r="N951" i="1"/>
  <c r="O951" i="1" s="1"/>
  <c r="O959" i="1"/>
  <c r="N959" i="1"/>
  <c r="O967" i="1"/>
  <c r="N967" i="1"/>
  <c r="N975" i="1"/>
  <c r="O975" i="1" s="1"/>
  <c r="N983" i="1"/>
  <c r="O983" i="1" s="1"/>
  <c r="O991" i="1"/>
  <c r="N991" i="1"/>
  <c r="O999" i="1"/>
  <c r="N999" i="1"/>
  <c r="N1007" i="1"/>
  <c r="O1007" i="1" s="1"/>
  <c r="N1023" i="1"/>
  <c r="O1023" i="1" s="1"/>
  <c r="O1031" i="1"/>
  <c r="N1031" i="1"/>
  <c r="O1039" i="1"/>
  <c r="N1039" i="1"/>
  <c r="N1047" i="1"/>
  <c r="O1047" i="1" s="1"/>
  <c r="N1055" i="1"/>
  <c r="O1055" i="1" s="1"/>
  <c r="O1063" i="1"/>
  <c r="N1063" i="1"/>
  <c r="O1071" i="1"/>
  <c r="N1071" i="1"/>
  <c r="N1087" i="1"/>
  <c r="O1087" i="1" s="1"/>
  <c r="N1095" i="1"/>
  <c r="O1095" i="1" s="1"/>
  <c r="O1103" i="1"/>
  <c r="N1103" i="1"/>
  <c r="O1111" i="1"/>
  <c r="N1111" i="1"/>
  <c r="N1119" i="1"/>
  <c r="O1119" i="1" s="1"/>
  <c r="N1127" i="1"/>
  <c r="O1127" i="1" s="1"/>
  <c r="O889" i="1"/>
  <c r="N889" i="1"/>
  <c r="N490" i="1"/>
  <c r="O490" i="1" s="1"/>
  <c r="N1042" i="1"/>
  <c r="O1042" i="1"/>
  <c r="N432" i="1"/>
  <c r="O432" i="1" s="1"/>
  <c r="O448" i="1"/>
  <c r="N448" i="1"/>
  <c r="O624" i="1"/>
  <c r="N624" i="1"/>
  <c r="N648" i="1"/>
  <c r="O648" i="1" s="1"/>
  <c r="N960" i="1"/>
  <c r="O960" i="1"/>
  <c r="N968" i="1"/>
  <c r="O968" i="1" s="1"/>
  <c r="N976" i="1"/>
  <c r="O976" i="1" s="1"/>
  <c r="N984" i="1"/>
  <c r="O984" i="1"/>
  <c r="N992" i="1"/>
  <c r="O992" i="1"/>
  <c r="N1000" i="1"/>
  <c r="O1000" i="1" s="1"/>
  <c r="N1008" i="1"/>
  <c r="O1008" i="1" s="1"/>
  <c r="N1016" i="1"/>
  <c r="O1016" i="1"/>
  <c r="N1024" i="1"/>
  <c r="O1024" i="1"/>
  <c r="N1032" i="1"/>
  <c r="O1032" i="1" s="1"/>
  <c r="N1040" i="1"/>
  <c r="O1040" i="1" s="1"/>
  <c r="N1048" i="1"/>
  <c r="O1048" i="1"/>
  <c r="N1056" i="1"/>
  <c r="O1056" i="1"/>
  <c r="N1064" i="1"/>
  <c r="O1064" i="1" s="1"/>
  <c r="N1072" i="1"/>
  <c r="O1072" i="1" s="1"/>
  <c r="N1080" i="1"/>
  <c r="O1080" i="1"/>
  <c r="N1088" i="1"/>
  <c r="O1088" i="1"/>
  <c r="N1096" i="1"/>
  <c r="O1096" i="1" s="1"/>
  <c r="N1104" i="1"/>
  <c r="O1104" i="1" s="1"/>
  <c r="N1112" i="1"/>
  <c r="O1112" i="1"/>
  <c r="N1120" i="1"/>
  <c r="O1120" i="1"/>
  <c r="N1128" i="1"/>
  <c r="O1128" i="1" s="1"/>
  <c r="N250" i="1"/>
  <c r="O250" i="1" s="1"/>
  <c r="N378" i="1"/>
  <c r="O378" i="1"/>
  <c r="N706" i="1"/>
  <c r="O706" i="1" s="1"/>
  <c r="O778" i="1"/>
  <c r="N778" i="1"/>
  <c r="O834" i="1"/>
  <c r="N834" i="1"/>
  <c r="N842" i="1"/>
  <c r="O842" i="1" s="1"/>
  <c r="N882" i="1"/>
  <c r="O882" i="1" s="1"/>
  <c r="N914" i="1"/>
  <c r="O914" i="1" s="1"/>
  <c r="N922" i="1"/>
  <c r="O922" i="1" s="1"/>
  <c r="N946" i="1"/>
  <c r="O946" i="1"/>
  <c r="N954" i="1"/>
  <c r="O954" i="1"/>
  <c r="N962" i="1"/>
  <c r="O962" i="1" s="1"/>
  <c r="N970" i="1"/>
  <c r="O970" i="1" s="1"/>
  <c r="N978" i="1"/>
  <c r="O978" i="1"/>
  <c r="N994" i="1"/>
  <c r="O994" i="1"/>
  <c r="N1010" i="1"/>
  <c r="O1010" i="1" s="1"/>
  <c r="N1026" i="1"/>
  <c r="O1026" i="1" s="1"/>
  <c r="N1034" i="1"/>
  <c r="O1034" i="1"/>
  <c r="N1058" i="1"/>
  <c r="O1058" i="1"/>
  <c r="N1066" i="1"/>
  <c r="O1066" i="1" s="1"/>
  <c r="N1074" i="1"/>
  <c r="O1074" i="1" s="1"/>
  <c r="N1082" i="1"/>
  <c r="O1082" i="1"/>
  <c r="N1098" i="1"/>
  <c r="O1098" i="1"/>
  <c r="N1106" i="1"/>
  <c r="O1106" i="1" s="1"/>
  <c r="N1122" i="1"/>
  <c r="O1122" i="1" s="1"/>
  <c r="N611" i="1"/>
  <c r="O611" i="1"/>
  <c r="N635" i="1"/>
  <c r="O635" i="1"/>
  <c r="N691" i="1"/>
  <c r="O691" i="1" s="1"/>
  <c r="N699" i="1"/>
  <c r="O699" i="1" s="1"/>
  <c r="N755" i="1"/>
  <c r="O755" i="1"/>
  <c r="N763" i="1"/>
  <c r="O763" i="1"/>
  <c r="N819" i="1"/>
  <c r="O819" i="1" s="1"/>
  <c r="N875" i="1"/>
  <c r="O875" i="1" s="1"/>
  <c r="N907" i="1"/>
  <c r="O907" i="1" s="1"/>
  <c r="N1002" i="1"/>
  <c r="O1002" i="1"/>
  <c r="N556" i="1"/>
  <c r="O556" i="1" s="1"/>
  <c r="O580" i="1"/>
  <c r="N580" i="1"/>
  <c r="N636" i="1"/>
  <c r="O636" i="1"/>
  <c r="N868" i="1"/>
  <c r="O868" i="1"/>
  <c r="N900" i="1"/>
  <c r="O900" i="1"/>
  <c r="N930" i="1"/>
  <c r="O930" i="1" s="1"/>
  <c r="N677" i="1"/>
  <c r="O677" i="1"/>
  <c r="N741" i="1"/>
  <c r="O741" i="1"/>
  <c r="N749" i="1"/>
  <c r="O749" i="1"/>
  <c r="N805" i="1"/>
  <c r="O805" i="1" s="1"/>
  <c r="N813" i="1"/>
  <c r="O813" i="1"/>
  <c r="N893" i="1"/>
  <c r="O893" i="1"/>
  <c r="N506" i="1"/>
  <c r="O506" i="1"/>
  <c r="N1018" i="1"/>
  <c r="O1018" i="1" s="1"/>
  <c r="N886" i="1"/>
  <c r="O886" i="1"/>
  <c r="N40" i="1"/>
  <c r="O40" i="1"/>
  <c r="N88" i="1"/>
  <c r="O88" i="1"/>
  <c r="N136" i="1"/>
  <c r="O136" i="1"/>
  <c r="N184" i="1"/>
  <c r="O184" i="1"/>
  <c r="N240" i="1"/>
  <c r="O240" i="1"/>
  <c r="N288" i="1"/>
  <c r="O288" i="1"/>
  <c r="N328" i="1"/>
  <c r="O328" i="1"/>
  <c r="N376" i="1"/>
  <c r="O376" i="1"/>
  <c r="N440" i="1"/>
  <c r="O440" i="1" s="1"/>
  <c r="N496" i="1"/>
  <c r="O496" i="1" s="1"/>
  <c r="N544" i="1"/>
  <c r="O544" i="1" s="1"/>
  <c r="N592" i="1"/>
  <c r="O592" i="1" s="1"/>
  <c r="O680" i="1"/>
  <c r="N680" i="1"/>
  <c r="O736" i="1"/>
  <c r="N736" i="1"/>
  <c r="O768" i="1"/>
  <c r="N768" i="1"/>
  <c r="O800" i="1"/>
  <c r="N800" i="1"/>
  <c r="O832" i="1"/>
  <c r="N832" i="1"/>
  <c r="N888" i="1"/>
  <c r="O888" i="1" s="1"/>
  <c r="N936" i="1"/>
  <c r="O936" i="1" s="1"/>
  <c r="N938" i="1"/>
  <c r="O938" i="1"/>
  <c r="N827" i="1"/>
  <c r="O827" i="1"/>
  <c r="N714" i="1"/>
  <c r="O714" i="1" s="1"/>
  <c r="N685" i="1"/>
  <c r="O685" i="1"/>
  <c r="N306" i="1"/>
  <c r="O306" i="1"/>
  <c r="N9" i="1"/>
  <c r="O9" i="1"/>
  <c r="N17" i="1"/>
  <c r="O17" i="1"/>
  <c r="N25" i="1"/>
  <c r="O25" i="1"/>
  <c r="N33" i="1"/>
  <c r="O33" i="1"/>
  <c r="N41" i="1"/>
  <c r="O41" i="1"/>
  <c r="N49" i="1"/>
  <c r="O49" i="1"/>
  <c r="N57" i="1"/>
  <c r="O57" i="1"/>
  <c r="N65" i="1"/>
  <c r="O65" i="1"/>
  <c r="N73" i="1"/>
  <c r="O73" i="1"/>
  <c r="N81" i="1"/>
  <c r="O81" i="1"/>
  <c r="N89" i="1"/>
  <c r="O89" i="1"/>
  <c r="N97" i="1"/>
  <c r="O97" i="1"/>
  <c r="N105" i="1"/>
  <c r="O105" i="1"/>
  <c r="N113" i="1"/>
  <c r="O113" i="1"/>
  <c r="N121" i="1"/>
  <c r="O121" i="1"/>
  <c r="N129" i="1"/>
  <c r="O129" i="1"/>
  <c r="N137" i="1"/>
  <c r="O137" i="1"/>
  <c r="N153" i="1"/>
  <c r="O153" i="1"/>
  <c r="N161" i="1"/>
  <c r="O161" i="1"/>
  <c r="N169" i="1"/>
  <c r="O169" i="1"/>
  <c r="N177" i="1"/>
  <c r="O177" i="1"/>
  <c r="N185" i="1"/>
  <c r="O185" i="1"/>
  <c r="N193" i="1"/>
  <c r="O193" i="1"/>
  <c r="N201" i="1"/>
  <c r="O201" i="1"/>
  <c r="N209" i="1"/>
  <c r="O209" i="1"/>
  <c r="N217" i="1"/>
  <c r="O217" i="1"/>
  <c r="N225" i="1"/>
  <c r="O225" i="1"/>
  <c r="N233" i="1"/>
  <c r="O233" i="1"/>
  <c r="N241" i="1"/>
  <c r="O241" i="1"/>
  <c r="N257" i="1"/>
  <c r="O257" i="1"/>
  <c r="N265" i="1"/>
  <c r="O265" i="1"/>
  <c r="N273" i="1"/>
  <c r="O273" i="1"/>
  <c r="N289" i="1"/>
  <c r="O289" i="1"/>
  <c r="N297" i="1"/>
  <c r="O297" i="1"/>
  <c r="N305" i="1"/>
  <c r="O305" i="1"/>
  <c r="N313" i="1"/>
  <c r="O313" i="1"/>
  <c r="N321" i="1"/>
  <c r="O321" i="1"/>
  <c r="N329" i="1"/>
  <c r="O329" i="1"/>
  <c r="N337" i="1"/>
  <c r="O337" i="1"/>
  <c r="N345" i="1"/>
  <c r="O345" i="1"/>
  <c r="N353" i="1"/>
  <c r="O353" i="1"/>
  <c r="N361" i="1"/>
  <c r="O361" i="1"/>
  <c r="N369" i="1"/>
  <c r="O369" i="1"/>
  <c r="N377" i="1"/>
  <c r="O377" i="1"/>
  <c r="N385" i="1"/>
  <c r="O385" i="1"/>
  <c r="N393" i="1"/>
  <c r="O393" i="1"/>
  <c r="N401" i="1"/>
  <c r="O401" i="1"/>
  <c r="N409" i="1"/>
  <c r="O409" i="1"/>
  <c r="N417" i="1"/>
  <c r="O417" i="1"/>
  <c r="N425" i="1"/>
  <c r="O425" i="1"/>
  <c r="N441" i="1"/>
  <c r="O441" i="1"/>
  <c r="N449" i="1"/>
  <c r="O449" i="1"/>
  <c r="N457" i="1"/>
  <c r="O457" i="1"/>
  <c r="N465" i="1"/>
  <c r="O465" i="1"/>
  <c r="N473" i="1"/>
  <c r="O473" i="1"/>
  <c r="N481" i="1"/>
  <c r="O481" i="1"/>
  <c r="N489" i="1"/>
  <c r="O489" i="1"/>
  <c r="N497" i="1"/>
  <c r="O497" i="1"/>
  <c r="N505" i="1"/>
  <c r="O505" i="1"/>
  <c r="N513" i="1"/>
  <c r="O513" i="1"/>
  <c r="N521" i="1"/>
  <c r="O521" i="1"/>
  <c r="N529" i="1"/>
  <c r="O529" i="1"/>
  <c r="N537" i="1"/>
  <c r="O537" i="1" s="1"/>
  <c r="N553" i="1"/>
  <c r="O553" i="1"/>
  <c r="N561" i="1"/>
  <c r="O561" i="1"/>
  <c r="N569" i="1"/>
  <c r="O569" i="1"/>
  <c r="N585" i="1"/>
  <c r="O585" i="1" s="1"/>
  <c r="O593" i="1"/>
  <c r="N593" i="1"/>
  <c r="N609" i="1"/>
  <c r="O609" i="1" s="1"/>
  <c r="N617" i="1"/>
  <c r="O617" i="1" s="1"/>
  <c r="N625" i="1"/>
  <c r="O625" i="1" s="1"/>
  <c r="N633" i="1"/>
  <c r="O633" i="1" s="1"/>
  <c r="O641" i="1"/>
  <c r="N641" i="1"/>
  <c r="N649" i="1"/>
  <c r="O649" i="1" s="1"/>
  <c r="N657" i="1"/>
  <c r="O657" i="1" s="1"/>
  <c r="N665" i="1"/>
  <c r="O665" i="1" s="1"/>
  <c r="N673" i="1"/>
  <c r="O673" i="1" s="1"/>
  <c r="N681" i="1"/>
  <c r="O681" i="1" s="1"/>
  <c r="N689" i="1"/>
  <c r="O689" i="1" s="1"/>
  <c r="N697" i="1"/>
  <c r="O697" i="1" s="1"/>
  <c r="N705" i="1"/>
  <c r="O705" i="1" s="1"/>
  <c r="N713" i="1"/>
  <c r="O713" i="1" s="1"/>
  <c r="N721" i="1"/>
  <c r="O721" i="1" s="1"/>
  <c r="N729" i="1"/>
  <c r="O729" i="1" s="1"/>
  <c r="N737" i="1"/>
  <c r="O737" i="1" s="1"/>
  <c r="N745" i="1"/>
  <c r="O745" i="1" s="1"/>
  <c r="N753" i="1"/>
  <c r="O753" i="1" s="1"/>
  <c r="N761" i="1"/>
  <c r="O761" i="1" s="1"/>
  <c r="N769" i="1"/>
  <c r="O769" i="1" s="1"/>
  <c r="N777" i="1"/>
  <c r="O777" i="1" s="1"/>
  <c r="N785" i="1"/>
  <c r="O785" i="1" s="1"/>
  <c r="N793" i="1"/>
  <c r="O793" i="1" s="1"/>
  <c r="N801" i="1"/>
  <c r="O801" i="1" s="1"/>
  <c r="N809" i="1"/>
  <c r="O809" i="1" s="1"/>
  <c r="N817" i="1"/>
  <c r="O817" i="1" s="1"/>
  <c r="N825" i="1"/>
  <c r="O825" i="1" s="1"/>
  <c r="N833" i="1"/>
  <c r="O833" i="1" s="1"/>
  <c r="N841" i="1"/>
  <c r="O841" i="1" s="1"/>
  <c r="N849" i="1"/>
  <c r="O849" i="1" s="1"/>
  <c r="N857" i="1"/>
  <c r="O857" i="1" s="1"/>
  <c r="N865" i="1"/>
  <c r="O865" i="1" s="1"/>
  <c r="O873" i="1"/>
  <c r="N873" i="1"/>
  <c r="O881" i="1"/>
  <c r="N881" i="1"/>
  <c r="O897" i="1"/>
  <c r="N897" i="1"/>
  <c r="O905" i="1"/>
  <c r="N905" i="1"/>
  <c r="O1113" i="1"/>
  <c r="O1084" i="1"/>
  <c r="O1049" i="1"/>
  <c r="O1020" i="1"/>
  <c r="O985" i="1"/>
  <c r="O956" i="1"/>
  <c r="O937" i="1"/>
  <c r="O797" i="1"/>
  <c r="O684" i="1"/>
  <c r="O655" i="1"/>
  <c r="N32" i="1"/>
  <c r="O32" i="1" s="1"/>
  <c r="N128" i="1"/>
  <c r="O128" i="1" s="1"/>
  <c r="N216" i="1"/>
  <c r="O216" i="1" s="1"/>
  <c r="N304" i="1"/>
  <c r="O304" i="1" s="1"/>
  <c r="N384" i="1"/>
  <c r="O384" i="1" s="1"/>
  <c r="O480" i="1"/>
  <c r="N480" i="1"/>
  <c r="O600" i="1"/>
  <c r="N600" i="1"/>
  <c r="O728" i="1"/>
  <c r="N728" i="1"/>
  <c r="N880" i="1"/>
  <c r="O880" i="1" s="1"/>
  <c r="N656" i="1"/>
  <c r="O656" i="1" s="1"/>
  <c r="N42" i="1"/>
  <c r="O42" i="1"/>
  <c r="N122" i="1"/>
  <c r="O122" i="1"/>
  <c r="N186" i="1"/>
  <c r="O186" i="1"/>
  <c r="N226" i="1"/>
  <c r="O226" i="1"/>
  <c r="N258" i="1"/>
  <c r="O258" i="1"/>
  <c r="N266" i="1"/>
  <c r="O266" i="1"/>
  <c r="N298" i="1"/>
  <c r="O298" i="1"/>
  <c r="N314" i="1"/>
  <c r="O314" i="1"/>
  <c r="N322" i="1"/>
  <c r="O322" i="1"/>
  <c r="N330" i="1"/>
  <c r="O330" i="1"/>
  <c r="N338" i="1"/>
  <c r="O338" i="1"/>
  <c r="N346" i="1"/>
  <c r="O346" i="1"/>
  <c r="N354" i="1"/>
  <c r="O354" i="1"/>
  <c r="N370" i="1"/>
  <c r="O370" i="1"/>
  <c r="N386" i="1"/>
  <c r="O386" i="1"/>
  <c r="N394" i="1"/>
  <c r="O394" i="1"/>
  <c r="N402" i="1"/>
  <c r="O402" i="1"/>
  <c r="N410" i="1"/>
  <c r="O410" i="1"/>
  <c r="N418" i="1"/>
  <c r="O418" i="1"/>
  <c r="N426" i="1"/>
  <c r="O426" i="1"/>
  <c r="N434" i="1"/>
  <c r="O434" i="1"/>
  <c r="N442" i="1"/>
  <c r="O442" i="1"/>
  <c r="N450" i="1"/>
  <c r="O450" i="1"/>
  <c r="N458" i="1"/>
  <c r="O458" i="1"/>
  <c r="N466" i="1"/>
  <c r="O466" i="1"/>
  <c r="N482" i="1"/>
  <c r="O482" i="1"/>
  <c r="N498" i="1"/>
  <c r="O498" i="1"/>
  <c r="N514" i="1"/>
  <c r="O514" i="1"/>
  <c r="N522" i="1"/>
  <c r="O522" i="1"/>
  <c r="N530" i="1"/>
  <c r="O530" i="1"/>
  <c r="N538" i="1"/>
  <c r="O538" i="1"/>
  <c r="N546" i="1"/>
  <c r="O546" i="1"/>
  <c r="N562" i="1"/>
  <c r="O562" i="1"/>
  <c r="N570" i="1"/>
  <c r="O570" i="1"/>
  <c r="N578" i="1"/>
  <c r="O578" i="1"/>
  <c r="N586" i="1"/>
  <c r="O586" i="1"/>
  <c r="N594" i="1"/>
  <c r="O594" i="1"/>
  <c r="N602" i="1"/>
  <c r="O602" i="1"/>
  <c r="N610" i="1"/>
  <c r="O610" i="1"/>
  <c r="N618" i="1"/>
  <c r="O618" i="1"/>
  <c r="N626" i="1"/>
  <c r="O626" i="1"/>
  <c r="N634" i="1"/>
  <c r="O634" i="1"/>
  <c r="N642" i="1"/>
  <c r="O642" i="1"/>
  <c r="N650" i="1"/>
  <c r="O650" i="1"/>
  <c r="N658" i="1"/>
  <c r="O658" i="1" s="1"/>
  <c r="N666" i="1"/>
  <c r="O666" i="1" s="1"/>
  <c r="N674" i="1"/>
  <c r="O674" i="1" s="1"/>
  <c r="N682" i="1"/>
  <c r="O682" i="1" s="1"/>
  <c r="N690" i="1"/>
  <c r="O690" i="1" s="1"/>
  <c r="O722" i="1"/>
  <c r="N722" i="1"/>
  <c r="O730" i="1"/>
  <c r="N730" i="1"/>
  <c r="O738" i="1"/>
  <c r="N738" i="1"/>
  <c r="O746" i="1"/>
  <c r="N746" i="1"/>
  <c r="O754" i="1"/>
  <c r="N754" i="1"/>
  <c r="N786" i="1"/>
  <c r="O786" i="1" s="1"/>
  <c r="N794" i="1"/>
  <c r="O794" i="1" s="1"/>
  <c r="N802" i="1"/>
  <c r="O802" i="1" s="1"/>
  <c r="N810" i="1"/>
  <c r="O810" i="1" s="1"/>
  <c r="N818" i="1"/>
  <c r="O818" i="1" s="1"/>
  <c r="O826" i="1"/>
  <c r="O850" i="1"/>
  <c r="N850" i="1"/>
  <c r="O858" i="1"/>
  <c r="N858" i="1"/>
  <c r="O866" i="1"/>
  <c r="N866" i="1"/>
  <c r="O874" i="1"/>
  <c r="N874" i="1"/>
  <c r="O890" i="1"/>
  <c r="N890" i="1"/>
  <c r="O898" i="1"/>
  <c r="N898" i="1"/>
  <c r="O906" i="1"/>
  <c r="N906" i="1"/>
  <c r="O1105" i="1"/>
  <c r="O1076" i="1"/>
  <c r="O1041" i="1"/>
  <c r="O1012" i="1"/>
  <c r="O977" i="1"/>
  <c r="O924" i="1"/>
  <c r="O871" i="1"/>
  <c r="O820" i="1"/>
  <c r="O791" i="1"/>
  <c r="O601" i="1"/>
  <c r="O281" i="1"/>
  <c r="N24" i="1"/>
  <c r="O24" i="1"/>
  <c r="N80" i="1"/>
  <c r="O80" i="1"/>
  <c r="N144" i="1"/>
  <c r="O144" i="1"/>
  <c r="N200" i="1"/>
  <c r="O200" i="1"/>
  <c r="N256" i="1"/>
  <c r="O256" i="1"/>
  <c r="N312" i="1"/>
  <c r="O312" i="1"/>
  <c r="N360" i="1"/>
  <c r="O360" i="1"/>
  <c r="N416" i="1"/>
  <c r="O416" i="1"/>
  <c r="N456" i="1"/>
  <c r="O456" i="1" s="1"/>
  <c r="N504" i="1"/>
  <c r="O504" i="1" s="1"/>
  <c r="N552" i="1"/>
  <c r="O552" i="1" s="1"/>
  <c r="N616" i="1"/>
  <c r="O616" i="1" s="1"/>
  <c r="N664" i="1"/>
  <c r="O664" i="1" s="1"/>
  <c r="O712" i="1"/>
  <c r="O760" i="1"/>
  <c r="N760" i="1"/>
  <c r="O816" i="1"/>
  <c r="N816" i="1"/>
  <c r="O864" i="1"/>
  <c r="N864" i="1"/>
  <c r="N920" i="1"/>
  <c r="O920" i="1" s="1"/>
  <c r="N34" i="1"/>
  <c r="O34" i="1" s="1"/>
  <c r="N82" i="1"/>
  <c r="O82" i="1" s="1"/>
  <c r="N138" i="1"/>
  <c r="O138" i="1" s="1"/>
  <c r="N194" i="1"/>
  <c r="O194" i="1" s="1"/>
  <c r="N3" i="1"/>
  <c r="O3" i="1" s="1"/>
  <c r="N11" i="1"/>
  <c r="O11" i="1" s="1"/>
  <c r="N19" i="1"/>
  <c r="O19" i="1" s="1"/>
  <c r="N27" i="1"/>
  <c r="O27" i="1" s="1"/>
  <c r="N35" i="1"/>
  <c r="O35" i="1" s="1"/>
  <c r="N43" i="1"/>
  <c r="O43" i="1" s="1"/>
  <c r="N51" i="1"/>
  <c r="O51" i="1" s="1"/>
  <c r="N59" i="1"/>
  <c r="O59" i="1" s="1"/>
  <c r="N67" i="1"/>
  <c r="O67" i="1" s="1"/>
  <c r="N75" i="1"/>
  <c r="O75" i="1" s="1"/>
  <c r="N83" i="1"/>
  <c r="O83" i="1" s="1"/>
  <c r="N91" i="1"/>
  <c r="O91" i="1" s="1"/>
  <c r="N99" i="1"/>
  <c r="O99" i="1" s="1"/>
  <c r="N107" i="1"/>
  <c r="O107" i="1" s="1"/>
  <c r="N115" i="1"/>
  <c r="O115" i="1" s="1"/>
  <c r="N123" i="1"/>
  <c r="O123" i="1" s="1"/>
  <c r="N131" i="1"/>
  <c r="O131" i="1" s="1"/>
  <c r="N139" i="1"/>
  <c r="O139" i="1" s="1"/>
  <c r="N147" i="1"/>
  <c r="O147" i="1" s="1"/>
  <c r="N155" i="1"/>
  <c r="O155" i="1" s="1"/>
  <c r="N163" i="1"/>
  <c r="O163" i="1" s="1"/>
  <c r="N171" i="1"/>
  <c r="O171" i="1" s="1"/>
  <c r="N179" i="1"/>
  <c r="O179" i="1" s="1"/>
  <c r="N187" i="1"/>
  <c r="O187" i="1" s="1"/>
  <c r="N195" i="1"/>
  <c r="O195" i="1" s="1"/>
  <c r="N203" i="1"/>
  <c r="O203" i="1" s="1"/>
  <c r="N211" i="1"/>
  <c r="O211" i="1" s="1"/>
  <c r="N219" i="1"/>
  <c r="O219" i="1" s="1"/>
  <c r="N227" i="1"/>
  <c r="O227" i="1" s="1"/>
  <c r="N235" i="1"/>
  <c r="O235" i="1" s="1"/>
  <c r="N243" i="1"/>
  <c r="O243" i="1" s="1"/>
  <c r="N251" i="1"/>
  <c r="O251" i="1" s="1"/>
  <c r="N259" i="1"/>
  <c r="O259" i="1" s="1"/>
  <c r="N267" i="1"/>
  <c r="O267" i="1" s="1"/>
  <c r="N275" i="1"/>
  <c r="O275" i="1" s="1"/>
  <c r="N283" i="1"/>
  <c r="O283" i="1" s="1"/>
  <c r="N291" i="1"/>
  <c r="O291" i="1" s="1"/>
  <c r="N299" i="1"/>
  <c r="O299" i="1" s="1"/>
  <c r="N307" i="1"/>
  <c r="O307" i="1" s="1"/>
  <c r="N315" i="1"/>
  <c r="O315" i="1" s="1"/>
  <c r="N323" i="1"/>
  <c r="O323" i="1" s="1"/>
  <c r="N331" i="1"/>
  <c r="O331" i="1" s="1"/>
  <c r="N339" i="1"/>
  <c r="O339" i="1" s="1"/>
  <c r="N347" i="1"/>
  <c r="O347" i="1" s="1"/>
  <c r="N355" i="1"/>
  <c r="O355" i="1" s="1"/>
  <c r="N363" i="1"/>
  <c r="O363" i="1" s="1"/>
  <c r="N371" i="1"/>
  <c r="O371" i="1" s="1"/>
  <c r="N379" i="1"/>
  <c r="O379" i="1" s="1"/>
  <c r="N387" i="1"/>
  <c r="O387" i="1" s="1"/>
  <c r="N395" i="1"/>
  <c r="O395" i="1" s="1"/>
  <c r="N403" i="1"/>
  <c r="O403" i="1" s="1"/>
  <c r="N411" i="1"/>
  <c r="O411" i="1" s="1"/>
  <c r="N419" i="1"/>
  <c r="O419" i="1" s="1"/>
  <c r="N427" i="1"/>
  <c r="O427" i="1" s="1"/>
  <c r="N435" i="1"/>
  <c r="O435" i="1" s="1"/>
  <c r="N443" i="1"/>
  <c r="O443" i="1" s="1"/>
  <c r="N451" i="1"/>
  <c r="O451" i="1" s="1"/>
  <c r="N459" i="1"/>
  <c r="O459" i="1" s="1"/>
  <c r="N467" i="1"/>
  <c r="O467" i="1" s="1"/>
  <c r="N475" i="1"/>
  <c r="O475" i="1" s="1"/>
  <c r="N483" i="1"/>
  <c r="O483" i="1" s="1"/>
  <c r="N491" i="1"/>
  <c r="O491" i="1" s="1"/>
  <c r="N499" i="1"/>
  <c r="O499" i="1" s="1"/>
  <c r="N507" i="1"/>
  <c r="O507" i="1" s="1"/>
  <c r="N515" i="1"/>
  <c r="O515" i="1" s="1"/>
  <c r="N523" i="1"/>
  <c r="O523" i="1" s="1"/>
  <c r="N531" i="1"/>
  <c r="O531" i="1"/>
  <c r="N539" i="1"/>
  <c r="O539" i="1" s="1"/>
  <c r="N547" i="1"/>
  <c r="O547" i="1" s="1"/>
  <c r="N555" i="1"/>
  <c r="O555" i="1" s="1"/>
  <c r="N563" i="1"/>
  <c r="O563" i="1"/>
  <c r="N571" i="1"/>
  <c r="O571" i="1" s="1"/>
  <c r="N579" i="1"/>
  <c r="O579" i="1" s="1"/>
  <c r="N587" i="1"/>
  <c r="O587" i="1" s="1"/>
  <c r="N595" i="1"/>
  <c r="O595" i="1"/>
  <c r="N603" i="1"/>
  <c r="O603" i="1" s="1"/>
  <c r="N619" i="1"/>
  <c r="O619" i="1" s="1"/>
  <c r="N627" i="1"/>
  <c r="O627" i="1" s="1"/>
  <c r="N643" i="1"/>
  <c r="O643" i="1"/>
  <c r="N651" i="1"/>
  <c r="O651" i="1" s="1"/>
  <c r="N659" i="1"/>
  <c r="O659" i="1" s="1"/>
  <c r="N667" i="1"/>
  <c r="O667" i="1" s="1"/>
  <c r="N675" i="1"/>
  <c r="O675" i="1"/>
  <c r="N683" i="1"/>
  <c r="O683" i="1" s="1"/>
  <c r="N707" i="1"/>
  <c r="O707" i="1" s="1"/>
  <c r="N715" i="1"/>
  <c r="O715" i="1" s="1"/>
  <c r="N723" i="1"/>
  <c r="O723" i="1"/>
  <c r="N731" i="1"/>
  <c r="O731" i="1" s="1"/>
  <c r="N739" i="1"/>
  <c r="O739" i="1" s="1"/>
  <c r="N747" i="1"/>
  <c r="O747" i="1" s="1"/>
  <c r="N771" i="1"/>
  <c r="O771" i="1"/>
  <c r="N779" i="1"/>
  <c r="O779" i="1" s="1"/>
  <c r="N787" i="1"/>
  <c r="O787" i="1" s="1"/>
  <c r="N795" i="1"/>
  <c r="O795" i="1" s="1"/>
  <c r="N803" i="1"/>
  <c r="O803" i="1"/>
  <c r="N811" i="1"/>
  <c r="O811" i="1" s="1"/>
  <c r="N835" i="1"/>
  <c r="O835" i="1" s="1"/>
  <c r="N843" i="1"/>
  <c r="O843" i="1" s="1"/>
  <c r="N851" i="1"/>
  <c r="O851" i="1"/>
  <c r="N859" i="1"/>
  <c r="O859" i="1" s="1"/>
  <c r="O883" i="1"/>
  <c r="N883" i="1"/>
  <c r="N891" i="1"/>
  <c r="O891" i="1" s="1"/>
  <c r="N915" i="1"/>
  <c r="O915" i="1"/>
  <c r="N923" i="1"/>
  <c r="O923" i="1" s="1"/>
  <c r="N931" i="1"/>
  <c r="O931" i="1" s="1"/>
  <c r="N939" i="1"/>
  <c r="O939" i="1" s="1"/>
  <c r="N947" i="1"/>
  <c r="O947" i="1"/>
  <c r="N955" i="1"/>
  <c r="O955" i="1" s="1"/>
  <c r="N963" i="1"/>
  <c r="O963" i="1" s="1"/>
  <c r="N971" i="1"/>
  <c r="O971" i="1" s="1"/>
  <c r="N979" i="1"/>
  <c r="O979" i="1"/>
  <c r="N987" i="1"/>
  <c r="O987" i="1" s="1"/>
  <c r="N995" i="1"/>
  <c r="O995" i="1" s="1"/>
  <c r="N1003" i="1"/>
  <c r="O1003" i="1" s="1"/>
  <c r="N1011" i="1"/>
  <c r="O1011" i="1"/>
  <c r="N1019" i="1"/>
  <c r="O1019" i="1" s="1"/>
  <c r="N1027" i="1"/>
  <c r="O1027" i="1" s="1"/>
  <c r="N1035" i="1"/>
  <c r="O1035" i="1" s="1"/>
  <c r="N1043" i="1"/>
  <c r="O1043" i="1"/>
  <c r="N1051" i="1"/>
  <c r="O1051" i="1" s="1"/>
  <c r="N1059" i="1"/>
  <c r="O1059" i="1" s="1"/>
  <c r="N1067" i="1"/>
  <c r="O1067" i="1" s="1"/>
  <c r="N1075" i="1"/>
  <c r="O1075" i="1"/>
  <c r="N1083" i="1"/>
  <c r="O1083" i="1" s="1"/>
  <c r="N1091" i="1"/>
  <c r="O1091" i="1" s="1"/>
  <c r="N1099" i="1"/>
  <c r="O1099" i="1" s="1"/>
  <c r="N1107" i="1"/>
  <c r="O1107" i="1"/>
  <c r="N1115" i="1"/>
  <c r="O1115" i="1" s="1"/>
  <c r="N1123" i="1"/>
  <c r="O1123" i="1" s="1"/>
  <c r="O1097" i="1"/>
  <c r="O1068" i="1"/>
  <c r="O1033" i="1"/>
  <c r="O1004" i="1"/>
  <c r="O969" i="1"/>
  <c r="O945" i="1"/>
  <c r="O913" i="1"/>
  <c r="O899" i="1"/>
  <c r="O885" i="1"/>
  <c r="O847" i="1"/>
  <c r="N762" i="1"/>
  <c r="O762" i="1" s="1"/>
  <c r="O733" i="1"/>
  <c r="O554" i="1"/>
  <c r="N64" i="1"/>
  <c r="O64" i="1"/>
  <c r="N112" i="1"/>
  <c r="O112" i="1"/>
  <c r="N168" i="1"/>
  <c r="O168" i="1" s="1"/>
  <c r="N224" i="1"/>
  <c r="O224" i="1" s="1"/>
  <c r="N272" i="1"/>
  <c r="O272" i="1"/>
  <c r="N344" i="1"/>
  <c r="O344" i="1"/>
  <c r="N400" i="1"/>
  <c r="O400" i="1" s="1"/>
  <c r="O512" i="1"/>
  <c r="N512" i="1"/>
  <c r="N568" i="1"/>
  <c r="O568" i="1" s="1"/>
  <c r="N632" i="1"/>
  <c r="O632" i="1" s="1"/>
  <c r="O696" i="1"/>
  <c r="N696" i="1"/>
  <c r="N944" i="1"/>
  <c r="O944" i="1"/>
  <c r="N10" i="1"/>
  <c r="O10" i="1"/>
  <c r="N50" i="1"/>
  <c r="O50" i="1" s="1"/>
  <c r="N98" i="1"/>
  <c r="O98" i="1" s="1"/>
  <c r="N146" i="1"/>
  <c r="O146" i="1"/>
  <c r="N178" i="1"/>
  <c r="O178" i="1"/>
  <c r="N218" i="1"/>
  <c r="O218" i="1" s="1"/>
  <c r="N242" i="1"/>
  <c r="O242" i="1" s="1"/>
  <c r="N290" i="1"/>
  <c r="O290" i="1"/>
  <c r="N12" i="1"/>
  <c r="O12" i="1" s="1"/>
  <c r="O28" i="1"/>
  <c r="N28" i="1"/>
  <c r="O44" i="1"/>
  <c r="N44" i="1"/>
  <c r="N60" i="1"/>
  <c r="O60" i="1" s="1"/>
  <c r="N76" i="1"/>
  <c r="O76" i="1" s="1"/>
  <c r="O92" i="1"/>
  <c r="N92" i="1"/>
  <c r="O108" i="1"/>
  <c r="N108" i="1"/>
  <c r="N124" i="1"/>
  <c r="O124" i="1" s="1"/>
  <c r="N140" i="1"/>
  <c r="O140" i="1" s="1"/>
  <c r="O156" i="1"/>
  <c r="N156" i="1"/>
  <c r="O172" i="1"/>
  <c r="N172" i="1"/>
  <c r="N188" i="1"/>
  <c r="O188" i="1" s="1"/>
  <c r="N204" i="1"/>
  <c r="O204" i="1" s="1"/>
  <c r="O220" i="1"/>
  <c r="N220" i="1"/>
  <c r="N236" i="1"/>
  <c r="O236" i="1" s="1"/>
  <c r="N244" i="1"/>
  <c r="O244" i="1"/>
  <c r="N260" i="1"/>
  <c r="O260" i="1" s="1"/>
  <c r="N268" i="1"/>
  <c r="O268" i="1" s="1"/>
  <c r="N276" i="1"/>
  <c r="O276" i="1" s="1"/>
  <c r="N284" i="1"/>
  <c r="O284" i="1"/>
  <c r="N300" i="1"/>
  <c r="O300" i="1"/>
  <c r="N308" i="1"/>
  <c r="O308" i="1" s="1"/>
  <c r="N316" i="1"/>
  <c r="O316" i="1" s="1"/>
  <c r="N324" i="1"/>
  <c r="O324" i="1"/>
  <c r="N332" i="1"/>
  <c r="O332" i="1"/>
  <c r="N340" i="1"/>
  <c r="O340" i="1" s="1"/>
  <c r="N348" i="1"/>
  <c r="O348" i="1" s="1"/>
  <c r="N356" i="1"/>
  <c r="O356" i="1"/>
  <c r="N364" i="1"/>
  <c r="O364" i="1" s="1"/>
  <c r="N372" i="1"/>
  <c r="O372" i="1" s="1"/>
  <c r="O380" i="1"/>
  <c r="N388" i="1"/>
  <c r="O388" i="1" s="1"/>
  <c r="N396" i="1"/>
  <c r="O396" i="1" s="1"/>
  <c r="N404" i="1"/>
  <c r="O404" i="1" s="1"/>
  <c r="N412" i="1"/>
  <c r="O412" i="1"/>
  <c r="N428" i="1"/>
  <c r="O428" i="1" s="1"/>
  <c r="N436" i="1"/>
  <c r="O436" i="1"/>
  <c r="O444" i="1"/>
  <c r="N444" i="1"/>
  <c r="N452" i="1"/>
  <c r="O452" i="1" s="1"/>
  <c r="O460" i="1"/>
  <c r="N468" i="1"/>
  <c r="O468" i="1" s="1"/>
  <c r="O476" i="1"/>
  <c r="N484" i="1"/>
  <c r="O484" i="1" s="1"/>
  <c r="O492" i="1"/>
  <c r="N492" i="1"/>
  <c r="N500" i="1"/>
  <c r="O500" i="1"/>
  <c r="N508" i="1"/>
  <c r="O508" i="1" s="1"/>
  <c r="N516" i="1"/>
  <c r="O516" i="1" s="1"/>
  <c r="O524" i="1"/>
  <c r="N524" i="1"/>
  <c r="N540" i="1"/>
  <c r="O540" i="1"/>
  <c r="N548" i="1"/>
  <c r="O548" i="1"/>
  <c r="O564" i="1"/>
  <c r="N564" i="1"/>
  <c r="N572" i="1"/>
  <c r="O572" i="1" s="1"/>
  <c r="N596" i="1"/>
  <c r="O596" i="1"/>
  <c r="N604" i="1"/>
  <c r="O604" i="1"/>
  <c r="N612" i="1"/>
  <c r="O612" i="1" s="1"/>
  <c r="N620" i="1"/>
  <c r="O620" i="1" s="1"/>
  <c r="N628" i="1"/>
  <c r="O628" i="1" s="1"/>
  <c r="N644" i="1"/>
  <c r="O644" i="1" s="1"/>
  <c r="N652" i="1"/>
  <c r="O652" i="1" s="1"/>
  <c r="N660" i="1"/>
  <c r="O660" i="1" s="1"/>
  <c r="N668" i="1"/>
  <c r="O668" i="1"/>
  <c r="N676" i="1"/>
  <c r="O676" i="1"/>
  <c r="N700" i="1"/>
  <c r="O700" i="1" s="1"/>
  <c r="N708" i="1"/>
  <c r="O708" i="1" s="1"/>
  <c r="N716" i="1"/>
  <c r="O716" i="1"/>
  <c r="N724" i="1"/>
  <c r="O724" i="1"/>
  <c r="N732" i="1"/>
  <c r="O732" i="1" s="1"/>
  <c r="N740" i="1"/>
  <c r="O740" i="1" s="1"/>
  <c r="N764" i="1"/>
  <c r="O764" i="1"/>
  <c r="N772" i="1"/>
  <c r="O772" i="1"/>
  <c r="N780" i="1"/>
  <c r="O780" i="1" s="1"/>
  <c r="N788" i="1"/>
  <c r="O788" i="1" s="1"/>
  <c r="N796" i="1"/>
  <c r="O796" i="1"/>
  <c r="N804" i="1"/>
  <c r="O804" i="1"/>
  <c r="N828" i="1"/>
  <c r="O828" i="1" s="1"/>
  <c r="N836" i="1"/>
  <c r="O836" i="1" s="1"/>
  <c r="N844" i="1"/>
  <c r="O844" i="1"/>
  <c r="N852" i="1"/>
  <c r="O852" i="1"/>
  <c r="N860" i="1"/>
  <c r="O860" i="1" s="1"/>
  <c r="N876" i="1"/>
  <c r="O876" i="1" s="1"/>
  <c r="N884" i="1"/>
  <c r="O884" i="1"/>
  <c r="N908" i="1"/>
  <c r="O908" i="1"/>
  <c r="O1124" i="1"/>
  <c r="O1089" i="1"/>
  <c r="O1060" i="1"/>
  <c r="O1025" i="1"/>
  <c r="O996" i="1"/>
  <c r="O961" i="1"/>
  <c r="O932" i="1"/>
  <c r="O910" i="1"/>
  <c r="O896" i="1"/>
  <c r="O756" i="1"/>
  <c r="O727" i="1"/>
  <c r="O589" i="1"/>
  <c r="O545" i="1"/>
  <c r="O433" i="1"/>
  <c r="O362" i="1"/>
  <c r="N8" i="1"/>
  <c r="O8" i="1" s="1"/>
  <c r="N56" i="1"/>
  <c r="O56" i="1"/>
  <c r="N96" i="1"/>
  <c r="O96" i="1" s="1"/>
  <c r="N152" i="1"/>
  <c r="O152" i="1" s="1"/>
  <c r="N192" i="1"/>
  <c r="O192" i="1" s="1"/>
  <c r="N248" i="1"/>
  <c r="O248" i="1"/>
  <c r="N296" i="1"/>
  <c r="O296" i="1" s="1"/>
  <c r="N336" i="1"/>
  <c r="O336" i="1" s="1"/>
  <c r="N392" i="1"/>
  <c r="O392" i="1" s="1"/>
  <c r="N488" i="1"/>
  <c r="O488" i="1" s="1"/>
  <c r="O536" i="1"/>
  <c r="N536" i="1"/>
  <c r="O584" i="1"/>
  <c r="N584" i="1"/>
  <c r="O672" i="1"/>
  <c r="N672" i="1"/>
  <c r="O752" i="1"/>
  <c r="N752" i="1"/>
  <c r="N792" i="1"/>
  <c r="O792" i="1" s="1"/>
  <c r="N824" i="1"/>
  <c r="O824" i="1" s="1"/>
  <c r="N872" i="1"/>
  <c r="O872" i="1" s="1"/>
  <c r="N928" i="1"/>
  <c r="O928" i="1" s="1"/>
  <c r="N2" i="1"/>
  <c r="O2" i="1" s="1"/>
  <c r="N58" i="1"/>
  <c r="O58" i="1" s="1"/>
  <c r="N106" i="1"/>
  <c r="O106" i="1"/>
  <c r="N154" i="1"/>
  <c r="O154" i="1" s="1"/>
  <c r="N202" i="1"/>
  <c r="O202" i="1" s="1"/>
  <c r="N282" i="1"/>
  <c r="O282" i="1" s="1"/>
  <c r="N4" i="1"/>
  <c r="O4" i="1" s="1"/>
  <c r="O20" i="1"/>
  <c r="N20" i="1"/>
  <c r="O36" i="1"/>
  <c r="N36" i="1"/>
  <c r="O52" i="1"/>
  <c r="N52" i="1"/>
  <c r="N68" i="1"/>
  <c r="O68" i="1" s="1"/>
  <c r="O84" i="1"/>
  <c r="N84" i="1"/>
  <c r="O100" i="1"/>
  <c r="N100" i="1"/>
  <c r="O116" i="1"/>
  <c r="N116" i="1"/>
  <c r="N132" i="1"/>
  <c r="O132" i="1" s="1"/>
  <c r="O148" i="1"/>
  <c r="N148" i="1"/>
  <c r="O164" i="1"/>
  <c r="N164" i="1"/>
  <c r="O180" i="1"/>
  <c r="N180" i="1"/>
  <c r="N196" i="1"/>
  <c r="O196" i="1" s="1"/>
  <c r="O212" i="1"/>
  <c r="N212" i="1"/>
  <c r="N228" i="1"/>
  <c r="O228" i="1" s="1"/>
  <c r="N252" i="1"/>
  <c r="O252" i="1" s="1"/>
  <c r="N292" i="1"/>
  <c r="O292" i="1"/>
  <c r="N5" i="1"/>
  <c r="O5" i="1" s="1"/>
  <c r="N13" i="1"/>
  <c r="O13" i="1" s="1"/>
  <c r="N21" i="1"/>
  <c r="O21" i="1" s="1"/>
  <c r="N29" i="1"/>
  <c r="O29" i="1"/>
  <c r="N37" i="1"/>
  <c r="O37" i="1" s="1"/>
  <c r="N45" i="1"/>
  <c r="O45" i="1" s="1"/>
  <c r="N53" i="1"/>
  <c r="O53" i="1" s="1"/>
  <c r="N61" i="1"/>
  <c r="O61" i="1"/>
  <c r="N69" i="1"/>
  <c r="O69" i="1" s="1"/>
  <c r="N77" i="1"/>
  <c r="O77" i="1" s="1"/>
  <c r="N85" i="1"/>
  <c r="O85" i="1" s="1"/>
  <c r="N93" i="1"/>
  <c r="O93" i="1"/>
  <c r="N101" i="1"/>
  <c r="O101" i="1" s="1"/>
  <c r="N109" i="1"/>
  <c r="O109" i="1" s="1"/>
  <c r="N117" i="1"/>
  <c r="O117" i="1" s="1"/>
  <c r="N125" i="1"/>
  <c r="O125" i="1"/>
  <c r="N133" i="1"/>
  <c r="O133" i="1" s="1"/>
  <c r="N141" i="1"/>
  <c r="O141" i="1" s="1"/>
  <c r="N149" i="1"/>
  <c r="O149" i="1" s="1"/>
  <c r="N157" i="1"/>
  <c r="O157" i="1"/>
  <c r="N165" i="1"/>
  <c r="O165" i="1" s="1"/>
  <c r="N173" i="1"/>
  <c r="O173" i="1" s="1"/>
  <c r="N181" i="1"/>
  <c r="O181" i="1" s="1"/>
  <c r="N189" i="1"/>
  <c r="O189" i="1"/>
  <c r="N197" i="1"/>
  <c r="O197" i="1" s="1"/>
  <c r="N205" i="1"/>
  <c r="O205" i="1" s="1"/>
  <c r="N213" i="1"/>
  <c r="O213" i="1" s="1"/>
  <c r="N221" i="1"/>
  <c r="O221" i="1"/>
  <c r="O229" i="1"/>
  <c r="N229" i="1"/>
  <c r="O237" i="1"/>
  <c r="N237" i="1"/>
  <c r="O245" i="1"/>
  <c r="N245" i="1"/>
  <c r="N253" i="1"/>
  <c r="O253" i="1" s="1"/>
  <c r="O261" i="1"/>
  <c r="N261" i="1"/>
  <c r="O269" i="1"/>
  <c r="N269" i="1"/>
  <c r="O277" i="1"/>
  <c r="N277" i="1"/>
  <c r="N285" i="1"/>
  <c r="O285" i="1" s="1"/>
  <c r="O293" i="1"/>
  <c r="N293" i="1"/>
  <c r="O301" i="1"/>
  <c r="N301" i="1"/>
  <c r="O309" i="1"/>
  <c r="N309" i="1"/>
  <c r="N317" i="1"/>
  <c r="O317" i="1" s="1"/>
  <c r="O325" i="1"/>
  <c r="N325" i="1"/>
  <c r="O333" i="1"/>
  <c r="N333" i="1"/>
  <c r="O341" i="1"/>
  <c r="N341" i="1"/>
  <c r="N349" i="1"/>
  <c r="O349" i="1" s="1"/>
  <c r="O357" i="1"/>
  <c r="N357" i="1"/>
  <c r="O365" i="1"/>
  <c r="N365" i="1"/>
  <c r="O373" i="1"/>
  <c r="N373" i="1"/>
  <c r="N381" i="1"/>
  <c r="O381" i="1" s="1"/>
  <c r="O389" i="1"/>
  <c r="N389" i="1"/>
  <c r="O397" i="1"/>
  <c r="N397" i="1"/>
  <c r="O405" i="1"/>
  <c r="N405" i="1"/>
  <c r="N413" i="1"/>
  <c r="O413" i="1" s="1"/>
  <c r="O421" i="1"/>
  <c r="N421" i="1"/>
  <c r="N429" i="1"/>
  <c r="O429" i="1" s="1"/>
  <c r="O437" i="1"/>
  <c r="N437" i="1"/>
  <c r="N445" i="1"/>
  <c r="O445" i="1"/>
  <c r="O453" i="1"/>
  <c r="N453" i="1"/>
  <c r="N461" i="1"/>
  <c r="O461" i="1" s="1"/>
  <c r="O469" i="1"/>
  <c r="N469" i="1"/>
  <c r="N477" i="1"/>
  <c r="O477" i="1"/>
  <c r="O485" i="1"/>
  <c r="N485" i="1"/>
  <c r="N493" i="1"/>
  <c r="O493" i="1" s="1"/>
  <c r="O501" i="1"/>
  <c r="N501" i="1"/>
  <c r="N509" i="1"/>
  <c r="O509" i="1"/>
  <c r="O517" i="1"/>
  <c r="N525" i="1"/>
  <c r="O525" i="1"/>
  <c r="N541" i="1"/>
  <c r="O541" i="1" s="1"/>
  <c r="N549" i="1"/>
  <c r="O549" i="1"/>
  <c r="N557" i="1"/>
  <c r="O557" i="1" s="1"/>
  <c r="N565" i="1"/>
  <c r="O565" i="1" s="1"/>
  <c r="N573" i="1"/>
  <c r="O573" i="1" s="1"/>
  <c r="N581" i="1"/>
  <c r="O581" i="1" s="1"/>
  <c r="O597" i="1"/>
  <c r="N597" i="1"/>
  <c r="O605" i="1"/>
  <c r="N605" i="1"/>
  <c r="N621" i="1"/>
  <c r="O621" i="1" s="1"/>
  <c r="N629" i="1"/>
  <c r="O629" i="1"/>
  <c r="N637" i="1"/>
  <c r="O637" i="1" s="1"/>
  <c r="O645" i="1"/>
  <c r="N653" i="1"/>
  <c r="O653" i="1"/>
  <c r="N661" i="1"/>
  <c r="O661" i="1" s="1"/>
  <c r="N693" i="1"/>
  <c r="O693" i="1" s="1"/>
  <c r="N701" i="1"/>
  <c r="O701" i="1"/>
  <c r="N709" i="1"/>
  <c r="O709" i="1"/>
  <c r="N717" i="1"/>
  <c r="O717" i="1" s="1"/>
  <c r="N725" i="1"/>
  <c r="O725" i="1" s="1"/>
  <c r="N757" i="1"/>
  <c r="O757" i="1"/>
  <c r="N765" i="1"/>
  <c r="O765" i="1"/>
  <c r="N773" i="1"/>
  <c r="O773" i="1" s="1"/>
  <c r="N781" i="1"/>
  <c r="O781" i="1" s="1"/>
  <c r="N789" i="1"/>
  <c r="O789" i="1"/>
  <c r="N821" i="1"/>
  <c r="O821" i="1"/>
  <c r="N829" i="1"/>
  <c r="O829" i="1" s="1"/>
  <c r="N837" i="1"/>
  <c r="O837" i="1" s="1"/>
  <c r="N845" i="1"/>
  <c r="O845" i="1"/>
  <c r="N853" i="1"/>
  <c r="O853" i="1"/>
  <c r="N869" i="1"/>
  <c r="O869" i="1" s="1"/>
  <c r="N877" i="1"/>
  <c r="O877" i="1" s="1"/>
  <c r="N901" i="1"/>
  <c r="O901" i="1"/>
  <c r="N909" i="1"/>
  <c r="O909" i="1"/>
  <c r="O917" i="1"/>
  <c r="N917" i="1"/>
  <c r="O925" i="1"/>
  <c r="N925" i="1"/>
  <c r="N933" i="1"/>
  <c r="O933" i="1" s="1"/>
  <c r="N941" i="1"/>
  <c r="O941" i="1" s="1"/>
  <c r="O949" i="1"/>
  <c r="N949" i="1"/>
  <c r="O957" i="1"/>
  <c r="O989" i="1"/>
  <c r="O997" i="1"/>
  <c r="O1005" i="1"/>
  <c r="O1013" i="1"/>
  <c r="O1021" i="1"/>
  <c r="O1045" i="1"/>
  <c r="O1053" i="1"/>
  <c r="O1061" i="1"/>
  <c r="O1069" i="1"/>
  <c r="O1077" i="1"/>
  <c r="O1085" i="1"/>
  <c r="O1117" i="1"/>
  <c r="O1125" i="1"/>
  <c r="O1116" i="1"/>
  <c r="N1109" i="1"/>
  <c r="O1109" i="1" s="1"/>
  <c r="O1081" i="1"/>
  <c r="O1052" i="1"/>
  <c r="N1045" i="1"/>
  <c r="O1017" i="1"/>
  <c r="O988" i="1"/>
  <c r="N981" i="1"/>
  <c r="O981" i="1" s="1"/>
  <c r="O953" i="1"/>
  <c r="O921" i="1"/>
  <c r="O867" i="1"/>
  <c r="N840" i="1"/>
  <c r="O840" i="1" s="1"/>
  <c r="O812" i="1"/>
  <c r="O783" i="1"/>
  <c r="N698" i="1"/>
  <c r="O698" i="1" s="1"/>
  <c r="O669" i="1"/>
  <c r="O588" i="1"/>
  <c r="O249" i="1"/>
  <c r="N16" i="1"/>
  <c r="O16" i="1" s="1"/>
  <c r="N72" i="1"/>
  <c r="O72" i="1"/>
  <c r="N120" i="1"/>
  <c r="O120" i="1"/>
  <c r="N176" i="1"/>
  <c r="O176" i="1" s="1"/>
  <c r="N232" i="1"/>
  <c r="O232" i="1" s="1"/>
  <c r="N280" i="1"/>
  <c r="O280" i="1"/>
  <c r="N352" i="1"/>
  <c r="O352" i="1"/>
  <c r="N408" i="1"/>
  <c r="O408" i="1" s="1"/>
  <c r="O464" i="1"/>
  <c r="N464" i="1"/>
  <c r="N528" i="1"/>
  <c r="O528" i="1" s="1"/>
  <c r="N576" i="1"/>
  <c r="O576" i="1" s="1"/>
  <c r="O640" i="1"/>
  <c r="N640" i="1"/>
  <c r="O704" i="1"/>
  <c r="N704" i="1"/>
  <c r="O784" i="1"/>
  <c r="O848" i="1"/>
  <c r="N904" i="1"/>
  <c r="O904" i="1"/>
  <c r="N952" i="1"/>
  <c r="O952" i="1" s="1"/>
  <c r="O519" i="1"/>
  <c r="N519" i="1"/>
  <c r="N18" i="1"/>
  <c r="O18" i="1"/>
  <c r="N66" i="1"/>
  <c r="O66" i="1"/>
  <c r="N90" i="1"/>
  <c r="O90" i="1" s="1"/>
  <c r="N130" i="1"/>
  <c r="O130" i="1" s="1"/>
  <c r="N170" i="1"/>
  <c r="O170" i="1"/>
  <c r="N234" i="1"/>
  <c r="O234" i="1"/>
  <c r="N6" i="1"/>
  <c r="O6" i="1" s="1"/>
  <c r="N22" i="1"/>
  <c r="O22" i="1" s="1"/>
  <c r="N30" i="1"/>
  <c r="O30" i="1"/>
  <c r="N46" i="1"/>
  <c r="O46" i="1"/>
  <c r="N54" i="1"/>
  <c r="O54" i="1" s="1"/>
  <c r="N70" i="1"/>
  <c r="O70" i="1" s="1"/>
  <c r="N78" i="1"/>
  <c r="O78" i="1"/>
  <c r="N86" i="1"/>
  <c r="O86" i="1"/>
  <c r="N94" i="1"/>
  <c r="O94" i="1" s="1"/>
  <c r="N102" i="1"/>
  <c r="O102" i="1" s="1"/>
  <c r="N110" i="1"/>
  <c r="O110" i="1"/>
  <c r="N118" i="1"/>
  <c r="O118" i="1"/>
  <c r="N126" i="1"/>
  <c r="O126" i="1" s="1"/>
  <c r="N134" i="1"/>
  <c r="O134" i="1" s="1"/>
  <c r="N142" i="1"/>
  <c r="O142" i="1"/>
  <c r="N150" i="1"/>
  <c r="O150" i="1"/>
  <c r="N158" i="1"/>
  <c r="O158" i="1" s="1"/>
  <c r="N166" i="1"/>
  <c r="O166" i="1" s="1"/>
  <c r="N174" i="1"/>
  <c r="O174" i="1"/>
  <c r="N182" i="1"/>
  <c r="O182" i="1"/>
  <c r="N190" i="1"/>
  <c r="O190" i="1" s="1"/>
  <c r="N198" i="1"/>
  <c r="O198" i="1" s="1"/>
  <c r="N206" i="1"/>
  <c r="O206" i="1"/>
  <c r="N214" i="1"/>
  <c r="O214" i="1"/>
  <c r="N222" i="1"/>
  <c r="O222" i="1" s="1"/>
  <c r="N230" i="1"/>
  <c r="O230" i="1" s="1"/>
  <c r="N238" i="1"/>
  <c r="O238" i="1"/>
  <c r="N246" i="1"/>
  <c r="O246" i="1"/>
  <c r="N254" i="1"/>
  <c r="O254" i="1" s="1"/>
  <c r="N262" i="1"/>
  <c r="O262" i="1" s="1"/>
  <c r="N270" i="1"/>
  <c r="O270" i="1"/>
  <c r="N278" i="1"/>
  <c r="O278" i="1"/>
  <c r="N286" i="1"/>
  <c r="O286" i="1"/>
  <c r="N294" i="1"/>
  <c r="O294" i="1"/>
  <c r="N302" i="1"/>
  <c r="O302" i="1"/>
  <c r="N310" i="1"/>
  <c r="O310" i="1"/>
  <c r="N318" i="1"/>
  <c r="O318" i="1"/>
  <c r="N326" i="1"/>
  <c r="O326" i="1"/>
  <c r="N334" i="1"/>
  <c r="O334" i="1"/>
  <c r="N342" i="1"/>
  <c r="O342" i="1"/>
  <c r="N350" i="1"/>
  <c r="O350" i="1"/>
  <c r="N358" i="1"/>
  <c r="O358" i="1"/>
  <c r="N366" i="1"/>
  <c r="O366" i="1"/>
  <c r="N374" i="1"/>
  <c r="O374" i="1"/>
  <c r="N382" i="1"/>
  <c r="O382" i="1"/>
  <c r="N390" i="1"/>
  <c r="O390" i="1"/>
  <c r="N398" i="1"/>
  <c r="O398" i="1"/>
  <c r="N406" i="1"/>
  <c r="O406" i="1"/>
  <c r="N414" i="1"/>
  <c r="O414" i="1"/>
  <c r="N422" i="1"/>
  <c r="O422" i="1"/>
  <c r="N430" i="1"/>
  <c r="O430" i="1"/>
  <c r="N438" i="1"/>
  <c r="O438" i="1"/>
  <c r="N446" i="1"/>
  <c r="O446" i="1"/>
  <c r="N454" i="1"/>
  <c r="O454" i="1"/>
  <c r="N462" i="1"/>
  <c r="O462" i="1"/>
  <c r="N470" i="1"/>
  <c r="O470" i="1"/>
  <c r="N478" i="1"/>
  <c r="O478" i="1"/>
  <c r="N486" i="1"/>
  <c r="O486" i="1"/>
  <c r="N494" i="1"/>
  <c r="O494" i="1"/>
  <c r="N502" i="1"/>
  <c r="O502" i="1"/>
  <c r="N510" i="1"/>
  <c r="O510" i="1"/>
  <c r="N518" i="1"/>
  <c r="O518" i="1"/>
  <c r="N526" i="1"/>
  <c r="O526" i="1"/>
  <c r="N534" i="1"/>
  <c r="O534" i="1"/>
  <c r="N542" i="1"/>
  <c r="O542" i="1"/>
  <c r="N550" i="1"/>
  <c r="O550" i="1"/>
  <c r="N558" i="1"/>
  <c r="O558" i="1"/>
  <c r="N566" i="1"/>
  <c r="O566" i="1"/>
  <c r="N574" i="1"/>
  <c r="O574" i="1"/>
  <c r="N582" i="1"/>
  <c r="O582" i="1"/>
  <c r="N590" i="1"/>
  <c r="O590" i="1"/>
  <c r="N598" i="1"/>
  <c r="O598" i="1"/>
  <c r="N606" i="1"/>
  <c r="O606" i="1"/>
  <c r="N614" i="1"/>
  <c r="O614" i="1"/>
  <c r="N622" i="1"/>
  <c r="O622" i="1"/>
  <c r="N630" i="1"/>
  <c r="O630" i="1"/>
  <c r="N638" i="1"/>
  <c r="O638" i="1"/>
  <c r="N646" i="1"/>
  <c r="O646" i="1"/>
  <c r="N654" i="1"/>
  <c r="O654" i="1"/>
  <c r="N662" i="1"/>
  <c r="O662" i="1"/>
  <c r="N670" i="1"/>
  <c r="O670" i="1"/>
  <c r="N678" i="1"/>
  <c r="O678" i="1"/>
  <c r="N686" i="1"/>
  <c r="O686" i="1"/>
  <c r="N694" i="1"/>
  <c r="O694" i="1"/>
  <c r="N702" i="1"/>
  <c r="O702" i="1"/>
  <c r="N710" i="1"/>
  <c r="O710" i="1"/>
  <c r="N718" i="1"/>
  <c r="O718" i="1"/>
  <c r="N726" i="1"/>
  <c r="O726" i="1"/>
  <c r="N734" i="1"/>
  <c r="O734" i="1"/>
  <c r="N742" i="1"/>
  <c r="O742" i="1"/>
  <c r="N750" i="1"/>
  <c r="O750" i="1"/>
  <c r="N758" i="1"/>
  <c r="O758" i="1"/>
  <c r="N766" i="1"/>
  <c r="O766" i="1"/>
  <c r="N774" i="1"/>
  <c r="O774" i="1"/>
  <c r="N782" i="1"/>
  <c r="O782" i="1"/>
  <c r="N790" i="1"/>
  <c r="O790" i="1"/>
  <c r="N798" i="1"/>
  <c r="O798" i="1"/>
  <c r="N806" i="1"/>
  <c r="O806" i="1"/>
  <c r="N814" i="1"/>
  <c r="O814" i="1"/>
  <c r="N822" i="1"/>
  <c r="O822" i="1"/>
  <c r="N830" i="1"/>
  <c r="O830" i="1"/>
  <c r="N838" i="1"/>
  <c r="O838" i="1"/>
  <c r="N846" i="1"/>
  <c r="O846" i="1"/>
  <c r="N854" i="1"/>
  <c r="O854" i="1"/>
  <c r="N862" i="1"/>
  <c r="O862" i="1"/>
  <c r="N870" i="1"/>
  <c r="O870" i="1"/>
  <c r="N894" i="1"/>
  <c r="O894" i="1"/>
  <c r="N902" i="1"/>
  <c r="O902" i="1"/>
  <c r="N918" i="1"/>
  <c r="O918" i="1"/>
  <c r="N926" i="1"/>
  <c r="O926" i="1"/>
  <c r="N934" i="1"/>
  <c r="O934" i="1"/>
  <c r="N942" i="1"/>
  <c r="O942" i="1"/>
  <c r="N950" i="1"/>
  <c r="O950" i="1"/>
  <c r="N958" i="1"/>
  <c r="O958" i="1"/>
  <c r="N966" i="1"/>
  <c r="O966" i="1"/>
  <c r="N974" i="1"/>
  <c r="O974" i="1"/>
  <c r="N982" i="1"/>
  <c r="O982" i="1"/>
  <c r="N990" i="1"/>
  <c r="O990" i="1"/>
  <c r="N998" i="1"/>
  <c r="O998" i="1"/>
  <c r="N1006" i="1"/>
  <c r="O1006" i="1"/>
  <c r="N1014" i="1"/>
  <c r="O1014" i="1"/>
  <c r="N1022" i="1"/>
  <c r="O1022" i="1"/>
  <c r="N1030" i="1"/>
  <c r="O1030" i="1"/>
  <c r="N1038" i="1"/>
  <c r="O1038" i="1"/>
  <c r="N1046" i="1"/>
  <c r="O1046" i="1"/>
  <c r="N1054" i="1"/>
  <c r="O1054" i="1"/>
  <c r="N1062" i="1"/>
  <c r="O1062" i="1"/>
  <c r="N1070" i="1"/>
  <c r="O1070" i="1"/>
  <c r="N1078" i="1"/>
  <c r="O1078" i="1"/>
  <c r="N1086" i="1"/>
  <c r="O1086" i="1"/>
  <c r="N1094" i="1"/>
  <c r="O1094" i="1"/>
  <c r="N1102" i="1"/>
  <c r="O1102" i="1"/>
  <c r="N1110" i="1"/>
  <c r="O1110" i="1"/>
  <c r="N1118" i="1"/>
  <c r="O1118" i="1"/>
  <c r="N1126" i="1"/>
  <c r="O1126" i="1"/>
  <c r="O1108" i="1"/>
  <c r="N1101" i="1"/>
  <c r="O1101" i="1" s="1"/>
  <c r="O1073" i="1"/>
  <c r="O1044" i="1"/>
  <c r="N1037" i="1"/>
  <c r="O1037" i="1" s="1"/>
  <c r="O1009" i="1"/>
  <c r="O980" i="1"/>
  <c r="N973" i="1"/>
  <c r="O973" i="1" s="1"/>
  <c r="O940" i="1"/>
  <c r="O878" i="1"/>
  <c r="N720" i="1"/>
  <c r="O720" i="1" s="1"/>
  <c r="O692" i="1"/>
  <c r="O663" i="1"/>
  <c r="N533" i="1"/>
  <c r="O533" i="1" s="1"/>
  <c r="N476" i="1"/>
  <c r="N420" i="1"/>
  <c r="O420" i="1" s="1"/>
  <c r="N48" i="1"/>
  <c r="O48" i="1"/>
  <c r="N104" i="1"/>
  <c r="O104" i="1"/>
  <c r="N160" i="1"/>
  <c r="O160" i="1"/>
  <c r="N208" i="1"/>
  <c r="O208" i="1"/>
  <c r="N264" i="1"/>
  <c r="O264" i="1"/>
  <c r="N320" i="1"/>
  <c r="O320" i="1"/>
  <c r="N368" i="1"/>
  <c r="O368" i="1"/>
  <c r="N424" i="1"/>
  <c r="O424" i="1" s="1"/>
  <c r="N472" i="1"/>
  <c r="O472" i="1" s="1"/>
  <c r="N520" i="1"/>
  <c r="O520" i="1" s="1"/>
  <c r="N560" i="1"/>
  <c r="O560" i="1" s="1"/>
  <c r="N608" i="1"/>
  <c r="O608" i="1" s="1"/>
  <c r="N688" i="1"/>
  <c r="O688" i="1" s="1"/>
  <c r="N744" i="1"/>
  <c r="O744" i="1" s="1"/>
  <c r="N808" i="1"/>
  <c r="O808" i="1" s="1"/>
  <c r="N856" i="1"/>
  <c r="O856" i="1" s="1"/>
  <c r="N912" i="1"/>
  <c r="O912" i="1"/>
  <c r="N26" i="1"/>
  <c r="O26" i="1"/>
  <c r="N74" i="1"/>
  <c r="O74" i="1"/>
  <c r="N114" i="1"/>
  <c r="O114" i="1"/>
  <c r="N162" i="1"/>
  <c r="O162" i="1"/>
  <c r="N210" i="1"/>
  <c r="O210" i="1"/>
  <c r="N14" i="1"/>
  <c r="O14" i="1"/>
  <c r="N38" i="1"/>
  <c r="O38" i="1"/>
  <c r="N62" i="1"/>
  <c r="O62" i="1"/>
  <c r="N7" i="1"/>
  <c r="O7" i="1"/>
  <c r="N15" i="1"/>
  <c r="O15" i="1"/>
  <c r="N23" i="1"/>
  <c r="O23" i="1"/>
  <c r="N31" i="1"/>
  <c r="O31" i="1"/>
  <c r="N39" i="1"/>
  <c r="O39" i="1"/>
  <c r="N47" i="1"/>
  <c r="O47" i="1"/>
  <c r="N55" i="1"/>
  <c r="O55" i="1"/>
  <c r="N63" i="1"/>
  <c r="O63" i="1"/>
  <c r="N71" i="1"/>
  <c r="O71" i="1"/>
  <c r="N79" i="1"/>
  <c r="O79" i="1"/>
  <c r="N87" i="1"/>
  <c r="O87" i="1"/>
  <c r="N95" i="1"/>
  <c r="O95" i="1"/>
  <c r="N103" i="1"/>
  <c r="O103" i="1"/>
  <c r="N111" i="1"/>
  <c r="O111" i="1"/>
  <c r="N119" i="1"/>
  <c r="O119" i="1"/>
  <c r="N127" i="1"/>
  <c r="O127" i="1"/>
  <c r="N135" i="1"/>
  <c r="O135" i="1"/>
  <c r="N143" i="1"/>
  <c r="O143" i="1"/>
  <c r="N151" i="1"/>
  <c r="O151" i="1"/>
  <c r="N159" i="1"/>
  <c r="O159" i="1"/>
  <c r="N175" i="1"/>
  <c r="O175" i="1"/>
  <c r="N183" i="1"/>
  <c r="O183" i="1"/>
  <c r="N191" i="1"/>
  <c r="O191" i="1"/>
  <c r="N199" i="1"/>
  <c r="O199" i="1"/>
  <c r="N207" i="1"/>
  <c r="O207" i="1"/>
  <c r="N215" i="1"/>
  <c r="O215" i="1"/>
  <c r="N223" i="1"/>
  <c r="O223" i="1"/>
  <c r="N231" i="1"/>
  <c r="O231" i="1" s="1"/>
  <c r="N239" i="1"/>
  <c r="O239" i="1" s="1"/>
  <c r="N247" i="1"/>
  <c r="O247" i="1" s="1"/>
  <c r="N255" i="1"/>
  <c r="O255" i="1" s="1"/>
  <c r="N263" i="1"/>
  <c r="O263" i="1" s="1"/>
  <c r="N271" i="1"/>
  <c r="O271" i="1" s="1"/>
  <c r="N279" i="1"/>
  <c r="O279" i="1" s="1"/>
  <c r="N287" i="1"/>
  <c r="O287" i="1" s="1"/>
  <c r="N295" i="1"/>
  <c r="O295" i="1" s="1"/>
  <c r="O303" i="1"/>
  <c r="O311" i="1"/>
  <c r="N311" i="1"/>
  <c r="O319" i="1"/>
  <c r="N319" i="1"/>
  <c r="O327" i="1"/>
  <c r="N327" i="1"/>
  <c r="O343" i="1"/>
  <c r="N343" i="1"/>
  <c r="O351" i="1"/>
  <c r="N351" i="1"/>
  <c r="O367" i="1"/>
  <c r="N367" i="1"/>
  <c r="O375" i="1"/>
  <c r="N375" i="1"/>
  <c r="O383" i="1"/>
  <c r="N383" i="1"/>
  <c r="O391" i="1"/>
  <c r="N391" i="1"/>
  <c r="O407" i="1"/>
  <c r="N407" i="1"/>
  <c r="N423" i="1"/>
  <c r="O423" i="1" s="1"/>
  <c r="N431" i="1"/>
  <c r="O431" i="1" s="1"/>
  <c r="N439" i="1"/>
  <c r="O439" i="1" s="1"/>
  <c r="O447" i="1"/>
  <c r="O455" i="1"/>
  <c r="N455" i="1"/>
  <c r="O463" i="1"/>
  <c r="N471" i="1"/>
  <c r="O471" i="1" s="1"/>
  <c r="N479" i="1"/>
  <c r="O479" i="1" s="1"/>
  <c r="N487" i="1"/>
  <c r="O487" i="1" s="1"/>
  <c r="N495" i="1"/>
  <c r="O495" i="1" s="1"/>
  <c r="N511" i="1"/>
  <c r="O511" i="1" s="1"/>
  <c r="N527" i="1"/>
  <c r="O527" i="1" s="1"/>
  <c r="N535" i="1"/>
  <c r="O535" i="1" s="1"/>
  <c r="N551" i="1"/>
  <c r="O551" i="1" s="1"/>
  <c r="N559" i="1"/>
  <c r="O559" i="1" s="1"/>
  <c r="N575" i="1"/>
  <c r="O575" i="1" s="1"/>
  <c r="N583" i="1"/>
  <c r="O583" i="1" s="1"/>
  <c r="N591" i="1"/>
  <c r="O591" i="1" s="1"/>
  <c r="N599" i="1"/>
  <c r="O599" i="1" s="1"/>
  <c r="N607" i="1"/>
  <c r="O607" i="1" s="1"/>
  <c r="N615" i="1"/>
  <c r="O615" i="1" s="1"/>
  <c r="N631" i="1"/>
  <c r="O631" i="1" s="1"/>
  <c r="N639" i="1"/>
  <c r="O639" i="1" s="1"/>
  <c r="N647" i="1"/>
  <c r="O647" i="1" s="1"/>
  <c r="O671" i="1"/>
  <c r="N679" i="1"/>
  <c r="O679" i="1" s="1"/>
  <c r="O687" i="1"/>
  <c r="N687" i="1"/>
  <c r="N695" i="1"/>
  <c r="O695" i="1" s="1"/>
  <c r="N703" i="1"/>
  <c r="O703" i="1" s="1"/>
  <c r="N711" i="1"/>
  <c r="O711" i="1" s="1"/>
  <c r="O735" i="1"/>
  <c r="N743" i="1"/>
  <c r="O743" i="1"/>
  <c r="N751" i="1"/>
  <c r="O751" i="1" s="1"/>
  <c r="N759" i="1"/>
  <c r="O759" i="1"/>
  <c r="N767" i="1"/>
  <c r="O767" i="1"/>
  <c r="N775" i="1"/>
  <c r="O775" i="1"/>
  <c r="O799" i="1"/>
  <c r="N807" i="1"/>
  <c r="O807" i="1" s="1"/>
  <c r="O815" i="1"/>
  <c r="N815" i="1"/>
  <c r="N823" i="1"/>
  <c r="O823" i="1" s="1"/>
  <c r="N831" i="1"/>
  <c r="O831" i="1" s="1"/>
  <c r="N839" i="1"/>
  <c r="O839" i="1" s="1"/>
  <c r="O863" i="1"/>
  <c r="N879" i="1"/>
  <c r="O879" i="1"/>
  <c r="N887" i="1"/>
  <c r="O887" i="1"/>
  <c r="N895" i="1"/>
  <c r="O895" i="1"/>
  <c r="N911" i="1"/>
  <c r="O911" i="1"/>
  <c r="O1114" i="1"/>
  <c r="N1093" i="1"/>
  <c r="O1093" i="1" s="1"/>
  <c r="N1079" i="1"/>
  <c r="O1079" i="1" s="1"/>
  <c r="O1065" i="1"/>
  <c r="O1050" i="1"/>
  <c r="N1029" i="1"/>
  <c r="O1029" i="1" s="1"/>
  <c r="N1015" i="1"/>
  <c r="O1015" i="1" s="1"/>
  <c r="O1001" i="1"/>
  <c r="O986" i="1"/>
  <c r="N965" i="1"/>
  <c r="O965" i="1" s="1"/>
  <c r="O929" i="1"/>
  <c r="O892" i="1"/>
  <c r="O861" i="1"/>
  <c r="N776" i="1"/>
  <c r="O776" i="1" s="1"/>
  <c r="O748" i="1"/>
  <c r="O719" i="1"/>
  <c r="N577" i="1"/>
  <c r="O577" i="1" s="1"/>
  <c r="O532" i="1"/>
  <c r="O474" i="1"/>
  <c r="N415" i="1"/>
  <c r="O415" i="1" s="1"/>
  <c r="O145" i="1"/>
</calcChain>
</file>

<file path=xl/sharedStrings.xml><?xml version="1.0" encoding="utf-8"?>
<sst xmlns="http://schemas.openxmlformats.org/spreadsheetml/2006/main" count="6020" uniqueCount="2431">
  <si>
    <t>Book ID</t>
  </si>
  <si>
    <t>Book Title</t>
  </si>
  <si>
    <t>Author Name</t>
  </si>
  <si>
    <t>ISBN</t>
  </si>
  <si>
    <t>Language</t>
  </si>
  <si>
    <t>Genre</t>
  </si>
  <si>
    <t>MRP</t>
  </si>
  <si>
    <t>Pack Qty</t>
  </si>
  <si>
    <t>Return Qty</t>
  </si>
  <si>
    <t>Sales Qty</t>
  </si>
  <si>
    <t>Aambalai</t>
  </si>
  <si>
    <t>Anuradha Ramanan</t>
  </si>
  <si>
    <t>978-93-5942-018-9</t>
  </si>
  <si>
    <t>Tamil</t>
  </si>
  <si>
    <t>Family</t>
  </si>
  <si>
    <t>Anuradha Ramananin Sirukathaigal - Part 1</t>
  </si>
  <si>
    <t>978-93-5695-746-6</t>
  </si>
  <si>
    <t>Anuradha Ramananin Sirukathaigal - Part 2</t>
  </si>
  <si>
    <t>978-93-5695-748-0</t>
  </si>
  <si>
    <t>Anuradha Ramananin Sirukathaigal - Part 3</t>
  </si>
  <si>
    <t>978-93-5942-075-2</t>
  </si>
  <si>
    <t>Anuradha Ramananin Sirukathaigal - Part 4</t>
  </si>
  <si>
    <t>978-93-5942-088-2</t>
  </si>
  <si>
    <t>Anuradha Ramananin Sirukathaigal - Part 5</t>
  </si>
  <si>
    <t>978-93-5942-047-9</t>
  </si>
  <si>
    <t>Arukil Miga Arukil</t>
  </si>
  <si>
    <t>978-93-5695-571-4</t>
  </si>
  <si>
    <t>Devathaigal Thoonguvathillai</t>
  </si>
  <si>
    <t>978-93-5695-743-5</t>
  </si>
  <si>
    <t>En Iniya Kaadhaliye</t>
  </si>
  <si>
    <t>978-81-19166-86-2</t>
  </si>
  <si>
    <t>Indha Ithazhil Arambamagirathu</t>
  </si>
  <si>
    <t>978-93-5942-089-9</t>
  </si>
  <si>
    <t>Indru Nee Nalai Nee Endrum Nee</t>
  </si>
  <si>
    <t>978-93-5695-826-5</t>
  </si>
  <si>
    <t>Ini Oru Piriva</t>
  </si>
  <si>
    <t>978-93-5942-037-0</t>
  </si>
  <si>
    <t>Kaadhalikka… Kaathiru</t>
  </si>
  <si>
    <t>978-93-5695-825-8</t>
  </si>
  <si>
    <t>Love and Romance</t>
  </si>
  <si>
    <t>Kaadhalikkum Bothimaram</t>
  </si>
  <si>
    <t>978-93-5942-038-7</t>
  </si>
  <si>
    <t>Kaadhoram Oru Kavithai</t>
  </si>
  <si>
    <t>978-81-19478-40-8</t>
  </si>
  <si>
    <t>Social</t>
  </si>
  <si>
    <t>Kaala Sumai Thangi</t>
  </si>
  <si>
    <t>978-93-5942-061-5</t>
  </si>
  <si>
    <t>Kaanamal Pona Kanavugal</t>
  </si>
  <si>
    <t>978-93-5695-742-8</t>
  </si>
  <si>
    <t>Kanavodu Sila Naal</t>
  </si>
  <si>
    <t>978-93-5942-048-6</t>
  </si>
  <si>
    <t>Kathavugal Marupadi Thirakkalam</t>
  </si>
  <si>
    <t>978-93-5942-667-9</t>
  </si>
  <si>
    <t>Koondu Nila</t>
  </si>
  <si>
    <t>978-93-5942-091-2</t>
  </si>
  <si>
    <t>Maaruthalukku Oru Hemalatha</t>
  </si>
  <si>
    <t>978-93-5695-306-2</t>
  </si>
  <si>
    <t>Mannil Neendhum Meengal</t>
  </si>
  <si>
    <t>978-93-5942-041-7</t>
  </si>
  <si>
    <t>Marupadiyum Malathi</t>
  </si>
  <si>
    <t>978-93-5942-054-7</t>
  </si>
  <si>
    <t>Meeravin Kaadhal</t>
  </si>
  <si>
    <t>978-93-5695-572-1</t>
  </si>
  <si>
    <t>Megathile Methaidu</t>
  </si>
  <si>
    <t>978-93-5942-103-2</t>
  </si>
  <si>
    <t>Mom From India!</t>
  </si>
  <si>
    <t>978-93-5695-304-8</t>
  </si>
  <si>
    <t>Mouna Kanavu</t>
  </si>
  <si>
    <t>978-81-19166-81-7</t>
  </si>
  <si>
    <t>Muthamitta Soppanangal</t>
  </si>
  <si>
    <t>978-93-5942-111-7</t>
  </si>
  <si>
    <t>Naal Muzhukka Naadagam</t>
  </si>
  <si>
    <t>978-93-5942-059-2</t>
  </si>
  <si>
    <t>Nanaindha Iravugal</t>
  </si>
  <si>
    <t>978-93-5695-783-1</t>
  </si>
  <si>
    <t>Natchathira Iravil</t>
  </si>
  <si>
    <t>978-93-5695-750-3</t>
  </si>
  <si>
    <t>Nee En Poonchiragu</t>
  </si>
  <si>
    <t>978-93-5695-574-5</t>
  </si>
  <si>
    <t>Nila Sandhippu</t>
  </si>
  <si>
    <t>978-93-5942-065-3</t>
  </si>
  <si>
    <t>Nilavum Penthaan</t>
  </si>
  <si>
    <t>978-93-5695-782-4</t>
  </si>
  <si>
    <t>Oru Kodi Inbangal</t>
  </si>
  <si>
    <t>978-93-5695-591-2</t>
  </si>
  <si>
    <t>Poisugam</t>
  </si>
  <si>
    <t>978-93-5942-012-7</t>
  </si>
  <si>
    <t>Pookkatha Kanavugal</t>
  </si>
  <si>
    <t>978-93-5695-308-6</t>
  </si>
  <si>
    <t>Poovodum Pottodum</t>
  </si>
  <si>
    <t>978-93-5695-784-8</t>
  </si>
  <si>
    <t>Purusha Sikamanikal</t>
  </si>
  <si>
    <t>978-93-5695-305-5</t>
  </si>
  <si>
    <t>Puthusai Potta Kolam</t>
  </si>
  <si>
    <t>978-93-5695-310-9</t>
  </si>
  <si>
    <t>Ragasiyathai Sol Kiliye..!</t>
  </si>
  <si>
    <t>978-93-5695-827-2</t>
  </si>
  <si>
    <t>Sandhiya Kaalathu Salanangal</t>
  </si>
  <si>
    <t>978-93-5695-508-0</t>
  </si>
  <si>
    <t>Sonthamena Nee Irunthal…</t>
  </si>
  <si>
    <t>978-81-19478-32-3</t>
  </si>
  <si>
    <t>Thottil Sugam</t>
  </si>
  <si>
    <t>978-93-5942-020-2</t>
  </si>
  <si>
    <t>Ulley Mazhai</t>
  </si>
  <si>
    <t>978-93-5695-307-9</t>
  </si>
  <si>
    <t>Uravugal</t>
  </si>
  <si>
    <t>978-93-5942-575-7</t>
  </si>
  <si>
    <t>Uruga Marukkum Mezhuguvarthi</t>
  </si>
  <si>
    <t>978-93-5942-063-9</t>
  </si>
  <si>
    <t>Vaadagaikku Oru Vaanavil</t>
  </si>
  <si>
    <t>978-93-5695-309-3</t>
  </si>
  <si>
    <t>Varalama Unnodu?</t>
  </si>
  <si>
    <t>978-93-5942-093-6</t>
  </si>
  <si>
    <t>Clydescope Mugamoodi</t>
  </si>
  <si>
    <t>Arnika Nasser</t>
  </si>
  <si>
    <t>978-81-19556-92-2</t>
  </si>
  <si>
    <t>Thriller</t>
  </si>
  <si>
    <t>Pani Nilavai Pathiyanidu</t>
  </si>
  <si>
    <t>978-93-5942-642-6</t>
  </si>
  <si>
    <t>Marana Vyabari</t>
  </si>
  <si>
    <t>978-93-5942-966-3</t>
  </si>
  <si>
    <t>Vetri Koottani</t>
  </si>
  <si>
    <t>978-81-19556-93-9</t>
  </si>
  <si>
    <t>Detective</t>
  </si>
  <si>
    <t>Aabathu Mandalam</t>
  </si>
  <si>
    <t>978-93-5942-938-0</t>
  </si>
  <si>
    <t>Poojyam</t>
  </si>
  <si>
    <t>978-93-5942-192-6</t>
  </si>
  <si>
    <t>Thatha... Uyirai Tha!</t>
  </si>
  <si>
    <t>978-93-5942-301-2</t>
  </si>
  <si>
    <t>Science</t>
  </si>
  <si>
    <t>Magic Thiruvizha</t>
  </si>
  <si>
    <t>978-93-5942-385-2</t>
  </si>
  <si>
    <t>Aanmeegam Aanandham!</t>
  </si>
  <si>
    <t>Aroor R. Subramanian</t>
  </si>
  <si>
    <t>978-81-19257-77-5</t>
  </si>
  <si>
    <t>Spiritual</t>
  </si>
  <si>
    <t>Aanmeega Muthukal</t>
  </si>
  <si>
    <t>978-93-95686-00-6</t>
  </si>
  <si>
    <t>Thiruvarur Tyagesan Thirukovil</t>
  </si>
  <si>
    <t>978-93-95686-01-3</t>
  </si>
  <si>
    <t>Appusami 80 Part 1</t>
  </si>
  <si>
    <t>Bakkiyam Ramasamy</t>
  </si>
  <si>
    <t>978-93-5942-270-1</t>
  </si>
  <si>
    <t>Humour</t>
  </si>
  <si>
    <t>Appusami 80 Part 2</t>
  </si>
  <si>
    <t>978-93-5942-928-1</t>
  </si>
  <si>
    <t>Appusamiyum Bharathi Naarkaaliyum</t>
  </si>
  <si>
    <t>978-93-5942-898-7</t>
  </si>
  <si>
    <t>Appusamy Varisu Thedukirar</t>
  </si>
  <si>
    <t>978-93-5942-368-5</t>
  </si>
  <si>
    <t>August Thiyagi Appusami</t>
  </si>
  <si>
    <t>978-93-5942-205-3</t>
  </si>
  <si>
    <t>Kadakadanu padinga.. kalakalanu siringa..</t>
  </si>
  <si>
    <t>978-81-990535-7-1</t>
  </si>
  <si>
    <t>Aadhaar Attaiyum Appusamiyum</t>
  </si>
  <si>
    <t>978-93-5695-802-9</t>
  </si>
  <si>
    <t>Sila Nerangalil Sila Anubavangal Part 2</t>
  </si>
  <si>
    <t>978-93-5695-833-3</t>
  </si>
  <si>
    <t>Sirikkatha Manamum Sirikkum</t>
  </si>
  <si>
    <t>978-93-5695-803-6</t>
  </si>
  <si>
    <t>Appusami Padam Edukkirar</t>
  </si>
  <si>
    <t>978-93-5942-283-1</t>
  </si>
  <si>
    <t>Veerappan Kaattil Appusami!</t>
  </si>
  <si>
    <t>978-93-5695-791-6</t>
  </si>
  <si>
    <t>Aakasavaniyil Appusami</t>
  </si>
  <si>
    <t>978-93-5942-912-0</t>
  </si>
  <si>
    <t>Berovin Pinnal</t>
  </si>
  <si>
    <t>978-93-5695-793-0</t>
  </si>
  <si>
    <t>Sila Nerangalil Sila Anubavangal Part 3</t>
  </si>
  <si>
    <t>978-93-5695-834-0</t>
  </si>
  <si>
    <t>Koondukkul Appusami</t>
  </si>
  <si>
    <t>978-93-5695-792-3</t>
  </si>
  <si>
    <t>Appusamyin Colour TV</t>
  </si>
  <si>
    <t>978-93-5942-268-8</t>
  </si>
  <si>
    <t>Mamanar Kathaigal</t>
  </si>
  <si>
    <t>978-93-5695-794-7</t>
  </si>
  <si>
    <t>Appusami Seitha Kidney Thaanam</t>
  </si>
  <si>
    <t>978-93-5942-203-9</t>
  </si>
  <si>
    <t>Sila Nerangalil Sila Anubavangal Part 1</t>
  </si>
  <si>
    <t>978-93-5695-832-6</t>
  </si>
  <si>
    <t>Sila Nerangalil Sila Anubavangal Part 4</t>
  </si>
  <si>
    <t>978-93-5695-835-7</t>
  </si>
  <si>
    <t>Appusami Hee… Hee… Kathaigal</t>
  </si>
  <si>
    <t>978-93-5942-612-9</t>
  </si>
  <si>
    <t>Human Bomb Appusami</t>
  </si>
  <si>
    <t>978-93-5695-801-2</t>
  </si>
  <si>
    <t>Appusamiyum Azhagi Pottiyum</t>
  </si>
  <si>
    <t>978-93-5942-351-7</t>
  </si>
  <si>
    <t>Appusamikkul Kuppusami</t>
  </si>
  <si>
    <t>978-93-5942-818-5</t>
  </si>
  <si>
    <t>Maanavar Thalaivar Appusamy</t>
  </si>
  <si>
    <t>978-93-5942-311-1</t>
  </si>
  <si>
    <t>Appusamiyum Hipnotisa Poonaiyum</t>
  </si>
  <si>
    <t>978-93-5942-797-3</t>
  </si>
  <si>
    <t>Appusamiyum Africa Azhagiyum</t>
  </si>
  <si>
    <t>978-93-5942-991-5</t>
  </si>
  <si>
    <t>Appusami Virumbiya Arputha Kattalaigal</t>
  </si>
  <si>
    <t>978-93-5942-722-5</t>
  </si>
  <si>
    <t>Dabbaji Bansleyudan Appusami</t>
  </si>
  <si>
    <t>978-93-5942-852-9</t>
  </si>
  <si>
    <t>Appusamiya? Sirippu Samiya?</t>
  </si>
  <si>
    <t>978-93-5942-338-8</t>
  </si>
  <si>
    <t>Aayirathoru Appusamy Iravugal</t>
  </si>
  <si>
    <t>978-93-5942-756-0</t>
  </si>
  <si>
    <t>Appusamiyin Thaali Bakkiyam</t>
  </si>
  <si>
    <t>978-93-5942-794-2</t>
  </si>
  <si>
    <t>Appusami Paritchai Ezhuthukirar!</t>
  </si>
  <si>
    <t>978-93-5942-985-4</t>
  </si>
  <si>
    <t>Come on! Appusami! Come on!</t>
  </si>
  <si>
    <t>978-93-5942-384-5</t>
  </si>
  <si>
    <t>Sirippum Sinthanaiyum</t>
  </si>
  <si>
    <t>978-93-48658-32-6</t>
  </si>
  <si>
    <t>Appusamiyum Arputha Vilakkum</t>
  </si>
  <si>
    <t>978-93-5942-941-0</t>
  </si>
  <si>
    <t>Bits(saa)</t>
  </si>
  <si>
    <t>978-93-49679-67-2</t>
  </si>
  <si>
    <t>'Ink'eetham Therinthavara Neegal?</t>
  </si>
  <si>
    <t>978-81-991338-6-0</t>
  </si>
  <si>
    <t>Marumagal Rajyathil...</t>
  </si>
  <si>
    <t>978-81-991860-8-8</t>
  </si>
  <si>
    <t>Siragai Viri, Para!</t>
  </si>
  <si>
    <t>Bharathi Baskar</t>
  </si>
  <si>
    <t>978-93-95686-12-9</t>
  </si>
  <si>
    <t>Nee Nadhi Pola Odikondiru...</t>
  </si>
  <si>
    <t>978-93-95686-11-2</t>
  </si>
  <si>
    <t>Appa Ennum Villan</t>
  </si>
  <si>
    <t>978-93-95686-14-3</t>
  </si>
  <si>
    <t>Mudhal Kural</t>
  </si>
  <si>
    <t>978-93-95686-10-5</t>
  </si>
  <si>
    <t>Sila Paathaigal... Sila Payanangal...</t>
  </si>
  <si>
    <t>978-93-95686-13-6</t>
  </si>
  <si>
    <t>Yeri Kuthithida Oru Yezhadi Suvar</t>
  </si>
  <si>
    <t>978-93-48138-32-3</t>
  </si>
  <si>
    <t>Kannan Paattu</t>
  </si>
  <si>
    <t>C. Subramania Bharathi</t>
  </si>
  <si>
    <t>978-93-5695-318-5</t>
  </si>
  <si>
    <t>Appalakacheri</t>
  </si>
  <si>
    <t>Devan</t>
  </si>
  <si>
    <t>978-93-48138-01-9</t>
  </si>
  <si>
    <t>C.I.D Chandru Part - 1</t>
  </si>
  <si>
    <t>978-93-5942-873-4</t>
  </si>
  <si>
    <t>C.I.D Chandru Part - 2</t>
  </si>
  <si>
    <t>978-93-5942-982-3</t>
  </si>
  <si>
    <t>Justice Jaganathan</t>
  </si>
  <si>
    <t>978-93-5942-562-7</t>
  </si>
  <si>
    <t>Mr. Vedantham</t>
  </si>
  <si>
    <t>978-93-5942-387-6</t>
  </si>
  <si>
    <t>Mythili</t>
  </si>
  <si>
    <t>978-81-991338-9-1</t>
  </si>
  <si>
    <t>Peyar Pona Pulugugal</t>
  </si>
  <si>
    <t>978-93-48138-87-3</t>
  </si>
  <si>
    <t>Pokiri Mama</t>
  </si>
  <si>
    <t>978-93-48138-61-3</t>
  </si>
  <si>
    <t>Rajamaniyai Kaanomey!</t>
  </si>
  <si>
    <t>978-93-48138-43-9</t>
  </si>
  <si>
    <t>Rajathin Manoratham</t>
  </si>
  <si>
    <t>978-93-48138-66-8</t>
  </si>
  <si>
    <t>Rangoon Periyappa</t>
  </si>
  <si>
    <t>978-93-90102-23-5</t>
  </si>
  <si>
    <t>Sonnapadi Kelungal</t>
  </si>
  <si>
    <t>978-93-49330-73-3</t>
  </si>
  <si>
    <t>Sriman Sudarsanam</t>
  </si>
  <si>
    <t>978-81-991338-3-9</t>
  </si>
  <si>
    <t>Thuppariyum Sambu</t>
  </si>
  <si>
    <t>978-93-5942-165-0</t>
  </si>
  <si>
    <t>Lakshmi Kadatcham</t>
  </si>
  <si>
    <t>978-81-988242-4-0</t>
  </si>
  <si>
    <t>Miss. Janaki</t>
  </si>
  <si>
    <t>978-93-90102-07-5</t>
  </si>
  <si>
    <t>Aanathikkam</t>
  </si>
  <si>
    <t>Devibala</t>
  </si>
  <si>
    <t>978-93-5942-414-9</t>
  </si>
  <si>
    <t>Aasai 60 Varusham</t>
  </si>
  <si>
    <t>978-93-95301-10-7</t>
  </si>
  <si>
    <t>Aindhavathu Vedham!</t>
  </si>
  <si>
    <t>978-93-5942-209-1</t>
  </si>
  <si>
    <t>Amma Gondu…!</t>
  </si>
  <si>
    <t>978-93-5695-102-0</t>
  </si>
  <si>
    <t>Ammadi! Aathadi!</t>
  </si>
  <si>
    <t>978-93-90102-48-8</t>
  </si>
  <si>
    <t>Arasanga Thaali...!</t>
  </si>
  <si>
    <t>978-93-5942-471-2</t>
  </si>
  <si>
    <t>Aruge Vandhu Pazhagu</t>
  </si>
  <si>
    <t>978-93-90102-46-4</t>
  </si>
  <si>
    <t>Athikaalai Aanantham</t>
  </si>
  <si>
    <t>978-81-19478-42-2</t>
  </si>
  <si>
    <t>Athikaalai Alaral</t>
  </si>
  <si>
    <t>978-93-95416-20-7</t>
  </si>
  <si>
    <t>Athirchi Vaithiyam</t>
  </si>
  <si>
    <t>978-93-5942-848-2</t>
  </si>
  <si>
    <t>Athu Mattum Ragasiyam</t>
  </si>
  <si>
    <t>978-93-5942-157-5</t>
  </si>
  <si>
    <t>Ava(l) Thaaram</t>
  </si>
  <si>
    <t>978-81-990748-3-5</t>
  </si>
  <si>
    <t>Bathil Mariyathai</t>
  </si>
  <si>
    <t>978-93-49679-80-1</t>
  </si>
  <si>
    <t>Chakkalathi</t>
  </si>
  <si>
    <t>978-93-5942-629-7</t>
  </si>
  <si>
    <t>Chittukuruvi Suttu Pazhagu</t>
  </si>
  <si>
    <t>978-93-5695-776-3</t>
  </si>
  <si>
    <t>Ennai Vittal Yarumillai!</t>
  </si>
  <si>
    <t>978-93-5942-252-7</t>
  </si>
  <si>
    <t>Entha Poovilum Vaasam Undu!</t>
  </si>
  <si>
    <t>978-81-19478-28-6</t>
  </si>
  <si>
    <t>Ethirparathathu</t>
  </si>
  <si>
    <t>978-93-95166-59-1</t>
  </si>
  <si>
    <t>February 30</t>
  </si>
  <si>
    <t>978-81-19166-92-3</t>
  </si>
  <si>
    <t>Idhayam Unakkalla</t>
  </si>
  <si>
    <t>978-93-90102-33-4</t>
  </si>
  <si>
    <t>Idhayathai Thodalama?</t>
  </si>
  <si>
    <t>978-93-95248-09-9</t>
  </si>
  <si>
    <t>Ilamaiyil Kol</t>
  </si>
  <si>
    <t>978-93-95301-16-9</t>
  </si>
  <si>
    <t>Indhiya Manaivi</t>
  </si>
  <si>
    <t>978-93-90102-08-2</t>
  </si>
  <si>
    <t xml:space="preserve">Inikkum Ilamai </t>
  </si>
  <si>
    <t>978-93-95416-24-5</t>
  </si>
  <si>
    <t>Kaadhal Raasi</t>
  </si>
  <si>
    <t>978-81-992924-9-9</t>
  </si>
  <si>
    <t>Kaadhal Suvadugal...</t>
  </si>
  <si>
    <t>978-93-90102-71-6</t>
  </si>
  <si>
    <t>Kanavil Vanthaval!</t>
  </si>
  <si>
    <t>978-93-94505-46-9</t>
  </si>
  <si>
    <t>Kunguma Kolam</t>
  </si>
  <si>
    <t>978-93-5942-316-6</t>
  </si>
  <si>
    <t>Linga Bairavi</t>
  </si>
  <si>
    <t>978-93-5942-546-7</t>
  </si>
  <si>
    <t>Maakolam</t>
  </si>
  <si>
    <t>978-93-5695-330-7</t>
  </si>
  <si>
    <t>Maavilakku!</t>
  </si>
  <si>
    <t>978-93-5942-644-0</t>
  </si>
  <si>
    <t>Madisaar Maami</t>
  </si>
  <si>
    <t>978-93-94505-74-2</t>
  </si>
  <si>
    <t>Madisaar Maami 2.0</t>
  </si>
  <si>
    <t>978-93-94505-77-3</t>
  </si>
  <si>
    <t>Maranathin Niram Manjal</t>
  </si>
  <si>
    <t>978-93-90102-14-3</t>
  </si>
  <si>
    <t>Maranthu Ponal Iranthu Povai</t>
  </si>
  <si>
    <t>978-81-990020-7-4</t>
  </si>
  <si>
    <t>Mattikita Maranam</t>
  </si>
  <si>
    <t>978-93-5695-111-2</t>
  </si>
  <si>
    <t>Mookkuthi Poo Meley</t>
  </si>
  <si>
    <t>978-93-95643-22-1</t>
  </si>
  <si>
    <t>Moolai Thanda Moolathanam</t>
  </si>
  <si>
    <t>978-93-5942-343-2</t>
  </si>
  <si>
    <t>Mudindhu Vitta Aasai</t>
  </si>
  <si>
    <t>978-93-95301-18-3</t>
  </si>
  <si>
    <t>Naalaikum Nilavu Varum!</t>
  </si>
  <si>
    <t>978-93-95277-56-3</t>
  </si>
  <si>
    <t>Nalaayini - 94</t>
  </si>
  <si>
    <t>978-93-5942-674-7</t>
  </si>
  <si>
    <t>Nee Eppa Varuvey?</t>
  </si>
  <si>
    <t>978-93-5942-661-7</t>
  </si>
  <si>
    <t>Nillu Nivedha!</t>
  </si>
  <si>
    <t>978-93-90102-18-1</t>
  </si>
  <si>
    <t xml:space="preserve">Oru Gangaiyin Kadhai </t>
  </si>
  <si>
    <t>978-93-95301-11-4</t>
  </si>
  <si>
    <t>Oru Gulmohar Marathin Keezhaey</t>
  </si>
  <si>
    <t>978-93-95301-19-0</t>
  </si>
  <si>
    <t>Panama... Pasama...</t>
  </si>
  <si>
    <t>978-93-95166-55-3</t>
  </si>
  <si>
    <t>Perapillai</t>
  </si>
  <si>
    <t>978-93-95248-00-6</t>
  </si>
  <si>
    <t>Poi Kaappalan</t>
  </si>
  <si>
    <t>978-93-5942-396-8</t>
  </si>
  <si>
    <t>Poikaal Purushan</t>
  </si>
  <si>
    <t>978-93-95598-44-6</t>
  </si>
  <si>
    <t>Poiyyai Thavira Verillai</t>
  </si>
  <si>
    <t>978-93-5942-557-3</t>
  </si>
  <si>
    <t>Pore Megangal!</t>
  </si>
  <si>
    <t>978-93-5942-154-4</t>
  </si>
  <si>
    <t>Pottuvetcha Vatta Nilaa</t>
  </si>
  <si>
    <t>978-93-95598-51-4</t>
  </si>
  <si>
    <t>Saalaiyora Sathigal...</t>
  </si>
  <si>
    <t>978-93-5695-774-9</t>
  </si>
  <si>
    <t>Saavu Moondru Angulam</t>
  </si>
  <si>
    <t>978-93-5695-105-1</t>
  </si>
  <si>
    <t>Sandhya Nee Saagalam!</t>
  </si>
  <si>
    <t>978-93-5695-107-5</t>
  </si>
  <si>
    <t>Sirithaal, Marithaal</t>
  </si>
  <si>
    <t>978-81-988982-6-5</t>
  </si>
  <si>
    <t>Thala Oru Thotta...!</t>
  </si>
  <si>
    <t>978-93-90102-56-3</t>
  </si>
  <si>
    <t>Thalattuthe Vaanam!</t>
  </si>
  <si>
    <t>978-93-95441-38-4</t>
  </si>
  <si>
    <t>Thalli Nil Kanmani!</t>
  </si>
  <si>
    <t>978-93-5942-418-7</t>
  </si>
  <si>
    <t>Thendral Sudum</t>
  </si>
  <si>
    <t>978-93-5695-404-5</t>
  </si>
  <si>
    <t>Time To Murder</t>
  </si>
  <si>
    <t>978-93-95277-51-8</t>
  </si>
  <si>
    <t>Ulley Vaammaa</t>
  </si>
  <si>
    <t>978-93-5695-210-2</t>
  </si>
  <si>
    <t>Uyir Ilavasam</t>
  </si>
  <si>
    <t>978-93-5695-771-8</t>
  </si>
  <si>
    <t>Vaadagai Kanavu</t>
  </si>
  <si>
    <t>978-93-95598-47-7</t>
  </si>
  <si>
    <t>Valaikku Thappiya Meen</t>
  </si>
  <si>
    <t>978-81-19478-38-5</t>
  </si>
  <si>
    <t>Vanthana Avan Vanthana?</t>
  </si>
  <si>
    <t>978-93-5942-850-5</t>
  </si>
  <si>
    <t>Veliyae Therium Vergal</t>
  </si>
  <si>
    <t>978-93-95416-25-2</t>
  </si>
  <si>
    <t>Viraivil Vibareetham</t>
  </si>
  <si>
    <t>978-81-19166-96-1</t>
  </si>
  <si>
    <t> 6554</t>
  </si>
  <si>
    <t>Jeevanamsam</t>
  </si>
  <si>
    <t>978-93-90102-92-1</t>
  </si>
  <si>
    <t>Novel</t>
  </si>
  <si>
    <t>Kannillatha Mugam</t>
  </si>
  <si>
    <t>978-93-90102-25-9</t>
  </si>
  <si>
    <t>Thanthi Adikkuthu Manasu</t>
  </si>
  <si>
    <t>978-93-90102-57-0</t>
  </si>
  <si>
    <t>Thottathu Veedu</t>
  </si>
  <si>
    <t>Director Manibharathi</t>
  </si>
  <si>
    <t>978-81-979514-3-5</t>
  </si>
  <si>
    <t>Idhu Enna Maayam?</t>
  </si>
  <si>
    <t>978-93-48138-76-7</t>
  </si>
  <si>
    <t>Kal Vadiyum Pookkal</t>
  </si>
  <si>
    <t>978-81-990020-8-1</t>
  </si>
  <si>
    <t>Anbey Anbey</t>
  </si>
  <si>
    <t>978-81-990223-6-2</t>
  </si>
  <si>
    <t>Kalyana Maalai</t>
  </si>
  <si>
    <t>978-93-48138-48-4</t>
  </si>
  <si>
    <t>Irattaivaal Kuruvi...</t>
  </si>
  <si>
    <t>978-81-990360-6-2</t>
  </si>
  <si>
    <t>Poongathu Thirumbuma</t>
  </si>
  <si>
    <t>978-81-990020-2-9</t>
  </si>
  <si>
    <t>Athu Oru Kanakaalam</t>
  </si>
  <si>
    <t>Dr. J. Bhaskaran</t>
  </si>
  <si>
    <t>978-93-5695-737-4</t>
  </si>
  <si>
    <t>Thedal</t>
  </si>
  <si>
    <t>978-93-5695-734-3</t>
  </si>
  <si>
    <t>Kuvigam Kadaisi Pakkam</t>
  </si>
  <si>
    <t>978-93-5695-738-1</t>
  </si>
  <si>
    <t>Ilakkiya Muthukkal 20</t>
  </si>
  <si>
    <t>978-93-5695-501-1</t>
  </si>
  <si>
    <t>Thalaivali</t>
  </si>
  <si>
    <t>978-93-5695-733-6</t>
  </si>
  <si>
    <t>Wellness</t>
  </si>
  <si>
    <t>Kinatrukkul Cauvery</t>
  </si>
  <si>
    <t>978-93-5695-739-8</t>
  </si>
  <si>
    <t>A Few Minutes with Newton</t>
  </si>
  <si>
    <t>Dr. R. Prabakaran</t>
  </si>
  <si>
    <t>978-93-5942-330-2</t>
  </si>
  <si>
    <t>English</t>
  </si>
  <si>
    <t>A Few Minutes With Srinivasa Ramanujan</t>
  </si>
  <si>
    <t>978-93-49330-28-3</t>
  </si>
  <si>
    <t>Education</t>
  </si>
  <si>
    <t>Pesum Kanitham</t>
  </si>
  <si>
    <t>978-81-19166-97-8</t>
  </si>
  <si>
    <t>Pesum Vattam</t>
  </si>
  <si>
    <t>978-81-19166-89-3</t>
  </si>
  <si>
    <t>Magaperu Magathuvam</t>
  </si>
  <si>
    <t>Dr. Shyama Swaminathan</t>
  </si>
  <si>
    <t>978-81-19257-43-0</t>
  </si>
  <si>
    <t>Maanidar Padhitha Kaaladi Suvadugal</t>
  </si>
  <si>
    <t>Dr. V. Kulandaiswamy</t>
  </si>
  <si>
    <t>978-93-95441-19-3</t>
  </si>
  <si>
    <t>Sanga Poongavil Koytha Malargal</t>
  </si>
  <si>
    <t>978-93-94833-05-0</t>
  </si>
  <si>
    <t>Classics</t>
  </si>
  <si>
    <t>Tamil Nilam Tharanikku Thilagam</t>
  </si>
  <si>
    <t>978-81-19166-19-0</t>
  </si>
  <si>
    <t>Literature</t>
  </si>
  <si>
    <t>Vaazhviyal Koorum Solavukal Nooru</t>
  </si>
  <si>
    <t>978-93-5695-631-5</t>
  </si>
  <si>
    <t>Arunthogaiyin Athirvalaigal</t>
  </si>
  <si>
    <t>978-93-94833-03-6</t>
  </si>
  <si>
    <t>Pudhuneri Venpakkal</t>
  </si>
  <si>
    <t>978-93-5942-814-7</t>
  </si>
  <si>
    <t>Mezhi Pidikkum Kai</t>
  </si>
  <si>
    <t>978-93-5942-889-5</t>
  </si>
  <si>
    <t>Sangakaala Tamil Samuthayam</t>
  </si>
  <si>
    <t>978-93-48970-07-7</t>
  </si>
  <si>
    <t>Kondarangi Komaan</t>
  </si>
  <si>
    <t>978-93-49330-42-9</t>
  </si>
  <si>
    <t>Pennal Mattume Mudiyum</t>
  </si>
  <si>
    <t>GA Prabha</t>
  </si>
  <si>
    <t>978-93-5695-712-1</t>
  </si>
  <si>
    <t>Jaithu Kattuvom</t>
  </si>
  <si>
    <t>978-93-5695-711-4</t>
  </si>
  <si>
    <t>Venpura Nesam</t>
  </si>
  <si>
    <t>978-93-5695-713-8</t>
  </si>
  <si>
    <t>Paravasam</t>
  </si>
  <si>
    <t>978-93-5695-718-3</t>
  </si>
  <si>
    <t>Pokkisham</t>
  </si>
  <si>
    <t>978-93-5695-710-7</t>
  </si>
  <si>
    <t>Maya Poigai</t>
  </si>
  <si>
    <t>978-93-5695-716-9</t>
  </si>
  <si>
    <t>Historical</t>
  </si>
  <si>
    <t>Velvom</t>
  </si>
  <si>
    <t>978-93-5695-717-6</t>
  </si>
  <si>
    <t>Ambanaiyil Uthitha Arivuraigal</t>
  </si>
  <si>
    <t>978-93-5942-824-6</t>
  </si>
  <si>
    <t>Thalam Thorum Thalaivan</t>
  </si>
  <si>
    <t>978-93-5942-233-6</t>
  </si>
  <si>
    <t>Thithikkum Thiruppugazh Nayagan</t>
  </si>
  <si>
    <t>978-93-5942-535-1</t>
  </si>
  <si>
    <t>Adhu</t>
  </si>
  <si>
    <t>Gavudham Karunanidhi</t>
  </si>
  <si>
    <t>978-93-95001-74-8</t>
  </si>
  <si>
    <t>Supernatural Thriller</t>
  </si>
  <si>
    <t>Anbaana Anuvirkku</t>
  </si>
  <si>
    <t>978-93-95001-15-1</t>
  </si>
  <si>
    <t>Arukkaani</t>
  </si>
  <si>
    <t>978-93-95001-13-7</t>
  </si>
  <si>
    <t>Arumugam</t>
  </si>
  <si>
    <t>978-93-95001-88-5</t>
  </si>
  <si>
    <t>Ayokyan</t>
  </si>
  <si>
    <t>978-93-95001-50-2</t>
  </si>
  <si>
    <t>Bathran</t>
  </si>
  <si>
    <t>978-93-95001-47-2</t>
  </si>
  <si>
    <t>Daniel</t>
  </si>
  <si>
    <t>978-93-95001-64-9</t>
  </si>
  <si>
    <t>En Kanmanikku</t>
  </si>
  <si>
    <t>978-93-95001-62-5</t>
  </si>
  <si>
    <t>Ithazh Thadam</t>
  </si>
  <si>
    <t>978-93-95001-52-6</t>
  </si>
  <si>
    <t>Jannal</t>
  </si>
  <si>
    <t>978-93-95001-81-6</t>
  </si>
  <si>
    <t>Love You Pei</t>
  </si>
  <si>
    <t>978-93-95001-27-4</t>
  </si>
  <si>
    <t>Mazhai.. Maranam.. Marmam..</t>
  </si>
  <si>
    <t>978-93-95001-43-4</t>
  </si>
  <si>
    <t>Mouna Thedal</t>
  </si>
  <si>
    <t>978-93-95001-67-0</t>
  </si>
  <si>
    <t>Nadamaattam</t>
  </si>
  <si>
    <t>978-93-95001-86-1</t>
  </si>
  <si>
    <t>Nigazh Thagavu</t>
  </si>
  <si>
    <t>978-93-95001-70-0</t>
  </si>
  <si>
    <t>Nizhal</t>
  </si>
  <si>
    <t>978-93-95001-79-3</t>
  </si>
  <si>
    <t>No.1</t>
  </si>
  <si>
    <t>978-93-95001-17-5</t>
  </si>
  <si>
    <t>Ottrai Natchathiram</t>
  </si>
  <si>
    <t>978-93-95001-31-1</t>
  </si>
  <si>
    <t>Paasarai</t>
  </si>
  <si>
    <t>978-93-95001-55-7</t>
  </si>
  <si>
    <t>Sample</t>
  </si>
  <si>
    <t>978-93-95001-16-8</t>
  </si>
  <si>
    <t>Super</t>
  </si>
  <si>
    <t>978-93-95001-38-0</t>
  </si>
  <si>
    <t>Thiruvizha</t>
  </si>
  <si>
    <t>978-93-95001-89-2</t>
  </si>
  <si>
    <t>Vathai</t>
  </si>
  <si>
    <t>978-93-95001-48-9</t>
  </si>
  <si>
    <t>Viraivil Vidiyum</t>
  </si>
  <si>
    <t>978-93-95001-35-9</t>
  </si>
  <si>
    <t>Kaadhal Vaseegaram</t>
  </si>
  <si>
    <t>Hansika Suga</t>
  </si>
  <si>
    <t>978-93-94758-81-0</t>
  </si>
  <si>
    <t>Kaadhale...! Kaadhale...!!</t>
  </si>
  <si>
    <t>978-93-94758-77-3</t>
  </si>
  <si>
    <t>Pookkalin Ithayam</t>
  </si>
  <si>
    <t>978-93-95301-40-4</t>
  </si>
  <si>
    <t>Nizhale Solvai... Nijam Yethuvendru...</t>
  </si>
  <si>
    <t>978-93-95301-35-0</t>
  </si>
  <si>
    <t>Sakkarai Nilave...!</t>
  </si>
  <si>
    <t>978-93-95301-33-6</t>
  </si>
  <si>
    <t>Jagame [Kaadhal] Thanthiram</t>
  </si>
  <si>
    <t>978-93-94758-90-2</t>
  </si>
  <si>
    <t>Kannan Malar Kalvanadi</t>
  </si>
  <si>
    <t>978-93-94758-54-4</t>
  </si>
  <si>
    <t>Mannan Nee...! Ilanenjin Kalvan Nee...!</t>
  </si>
  <si>
    <t>978-93-94758-71-1</t>
  </si>
  <si>
    <t>Manaththai Mayakkum Mandhiramey!</t>
  </si>
  <si>
    <t>978-93-5695-902-6</t>
  </si>
  <si>
    <t>Hello... Mister Yethirkatchi!</t>
  </si>
  <si>
    <t>978-81-19166-10-7</t>
  </si>
  <si>
    <t>Mayakkum Penney...! Manthaara Poovey...!!</t>
  </si>
  <si>
    <t>978-93-94758-70-4</t>
  </si>
  <si>
    <t>Sindhum Pani Vaadai Kaatru</t>
  </si>
  <si>
    <t>978-93-95441-01-8</t>
  </si>
  <si>
    <t>Penne... Nee Kaanchanai...</t>
  </si>
  <si>
    <t>978-93-95301-39-8</t>
  </si>
  <si>
    <t>Kaadhal Mattum!</t>
  </si>
  <si>
    <t>978-93-5695-934-7</t>
  </si>
  <si>
    <t>Maayamenna... Ponmaane..!</t>
  </si>
  <si>
    <t>978-93-94758-75-9</t>
  </si>
  <si>
    <t>Panneeril Aadum Rojakkal...</t>
  </si>
  <si>
    <t>978-93-5695-498-4</t>
  </si>
  <si>
    <t>Minminigal Kann Simittum!!</t>
  </si>
  <si>
    <t>978-93-94758-62-9</t>
  </si>
  <si>
    <t>Kaadhal Ennai Kaadhal Seiya...</t>
  </si>
  <si>
    <t>978-93-94758-84-1</t>
  </si>
  <si>
    <t>Nakshatra</t>
  </si>
  <si>
    <t>978-93-94758-74-2</t>
  </si>
  <si>
    <t>Verenna... Verenna... Vendum</t>
  </si>
  <si>
    <t>978-93-95301-41-1</t>
  </si>
  <si>
    <t>Kaadhaladum Manathu</t>
  </si>
  <si>
    <t>978-93-5942-180-3</t>
  </si>
  <si>
    <t>Tharaiyil Irangum Vimanangal</t>
  </si>
  <si>
    <t>Indhumathi</t>
  </si>
  <si>
    <t>978-93-94758-34-6</t>
  </si>
  <si>
    <t>Avalukku Amuthendru Per</t>
  </si>
  <si>
    <t>978-93-95686-03-7</t>
  </si>
  <si>
    <t>En Veetu Roja Un Veetu Jannalil</t>
  </si>
  <si>
    <t>978-93-95598-43-9</t>
  </si>
  <si>
    <t>Irandu Per</t>
  </si>
  <si>
    <t>978-93-5942-583-2</t>
  </si>
  <si>
    <t>Koondu Kuyil</t>
  </si>
  <si>
    <t>978-93-95686-02-0</t>
  </si>
  <si>
    <t>Mann Kudhirai</t>
  </si>
  <si>
    <t>978-93-95301-47-3</t>
  </si>
  <si>
    <t>Mayamaan</t>
  </si>
  <si>
    <t>978-93-95686-04-4</t>
  </si>
  <si>
    <t>Neruppu Malar</t>
  </si>
  <si>
    <t>978-93-94758-44-5</t>
  </si>
  <si>
    <t>Ninaivey Illaiyaa Nithya?</t>
  </si>
  <si>
    <t>978-93-5942-195-7</t>
  </si>
  <si>
    <t>Paisa Nagarathu Gopurangal</t>
  </si>
  <si>
    <t>978-93-94758-53-7</t>
  </si>
  <si>
    <t>Thoduvaana Manithargal</t>
  </si>
  <si>
    <t>978-93-95301-43-5</t>
  </si>
  <si>
    <t>Veenaiyadi Nee Enakku...</t>
  </si>
  <si>
    <t>978-93-95301-52-7</t>
  </si>
  <si>
    <t>Veenaiyil Urangum Raagangal</t>
  </si>
  <si>
    <t>978-93-94758-26-1</t>
  </si>
  <si>
    <t xml:space="preserve">Aindhu Vazhi Moondru Vaasal </t>
  </si>
  <si>
    <t>Indira Soundarajan</t>
  </si>
  <si>
    <t>978-93-5695-652-0</t>
  </si>
  <si>
    <t>En Peyar Ranganayagi</t>
  </si>
  <si>
    <t>978-93-5695-640-7</t>
  </si>
  <si>
    <t>Kaatril Ketta Kural</t>
  </si>
  <si>
    <t>978-93-48658-98-2</t>
  </si>
  <si>
    <t>Kaatru… Kaatru... Uyir</t>
  </si>
  <si>
    <t>978-93-5695-651-3</t>
  </si>
  <si>
    <t>Kannigal Ezhu Per</t>
  </si>
  <si>
    <t>978-93-5695-649-0</t>
  </si>
  <si>
    <t>Kottaipurathu Veedu</t>
  </si>
  <si>
    <t>978-93-5695-636-0</t>
  </si>
  <si>
    <t>Krishnadaasi</t>
  </si>
  <si>
    <t>978-93-5695-650-6</t>
  </si>
  <si>
    <t>Marma Veedu</t>
  </si>
  <si>
    <t>978-93-48658-37-1</t>
  </si>
  <si>
    <t>Naan Ennai Thedugirean!</t>
  </si>
  <si>
    <t>978-93-48658-53-1</t>
  </si>
  <si>
    <t>Nizhalai Varuven</t>
  </si>
  <si>
    <t>978-93-48658-86-9</t>
  </si>
  <si>
    <t>Olivatharkku Vazhiillai</t>
  </si>
  <si>
    <t>978-93-5695-635-3</t>
  </si>
  <si>
    <t>Oru Mul Oru Malar</t>
  </si>
  <si>
    <t>978-93-5695-634-6</t>
  </si>
  <si>
    <t>Pashana Lingam</t>
  </si>
  <si>
    <t>978-93-48658-93-7</t>
  </si>
  <si>
    <t>Ragasiyamaga Oru Ragasiyam</t>
  </si>
  <si>
    <t>978-93-5695-653-7</t>
  </si>
  <si>
    <t>Sivam</t>
  </si>
  <si>
    <t>978-93-5695-638-4</t>
  </si>
  <si>
    <t>Sivamayam Part - 1</t>
  </si>
  <si>
    <t>978-93-5695-637-7</t>
  </si>
  <si>
    <t>Sivamayam Part - 2</t>
  </si>
  <si>
    <t>978-93-5695-654-4</t>
  </si>
  <si>
    <t>Sivaragasiyam</t>
  </si>
  <si>
    <t>978-93-5695-655-1</t>
  </si>
  <si>
    <t>Uyir</t>
  </si>
  <si>
    <t>978-93-48658-67-8</t>
  </si>
  <si>
    <t>Vidave Vidathu!</t>
  </si>
  <si>
    <t>978-93-48658-30-2</t>
  </si>
  <si>
    <t>Yaarendru Mattum Sollathe...</t>
  </si>
  <si>
    <t>978-93-5695-639-1</t>
  </si>
  <si>
    <t>Boodha Kannadi Samy!</t>
  </si>
  <si>
    <t>J.V. Nathan</t>
  </si>
  <si>
    <t>978-93-5942-769-0</t>
  </si>
  <si>
    <t>Ezhuthapadatha Theerpugal</t>
  </si>
  <si>
    <t>978-93-5942-417-0</t>
  </si>
  <si>
    <t>Kadavul Thondriya Kathai</t>
  </si>
  <si>
    <t>978-93-5942-943-4</t>
  </si>
  <si>
    <t>Pira Maanila Apoorva Koyilgal!</t>
  </si>
  <si>
    <t>978-93-5942-191-9</t>
  </si>
  <si>
    <t>Prabalangalin Nerkaanalgal</t>
  </si>
  <si>
    <t>978-93-49330-96-2</t>
  </si>
  <si>
    <t>Biography</t>
  </si>
  <si>
    <t>Singapoorukku Sila Kazhuthaigal</t>
  </si>
  <si>
    <t>978-93-5942-254-1</t>
  </si>
  <si>
    <t>Vettai</t>
  </si>
  <si>
    <t>978-93-5942-290-9</t>
  </si>
  <si>
    <t>Pamara Geethai</t>
  </si>
  <si>
    <t>Ja. Ra. Sundaresan</t>
  </si>
  <si>
    <t>978-93-5695-735-0</t>
  </si>
  <si>
    <t>Veli Thaandiya Velladugal</t>
  </si>
  <si>
    <t>978-93-48658-00-5</t>
  </si>
  <si>
    <t>Puthiya Appa</t>
  </si>
  <si>
    <t>978-93-48658-31-9</t>
  </si>
  <si>
    <t>Nerungi Nerungi Varugiral</t>
  </si>
  <si>
    <t>978-81-992627-0-6</t>
  </si>
  <si>
    <t>Thullal</t>
  </si>
  <si>
    <t>978-81-991338-5-3</t>
  </si>
  <si>
    <t>Kadhambavin Yethiri</t>
  </si>
  <si>
    <t>978-93-49679-12-2</t>
  </si>
  <si>
    <t>Manas</t>
  </si>
  <si>
    <t>978-81-991860-9-5</t>
  </si>
  <si>
    <t>1990’il Veliyana Aazhamana Sirukathaigal</t>
  </si>
  <si>
    <t>978-93-5695-836-4</t>
  </si>
  <si>
    <t>Aruvi Saaraliley!</t>
  </si>
  <si>
    <t>Jaisakthi</t>
  </si>
  <si>
    <t>978-93-5695-427-4</t>
  </si>
  <si>
    <t>Naaliley Nalla Naal</t>
  </si>
  <si>
    <t>978-93-5695-425-0</t>
  </si>
  <si>
    <t>Mudhal Seya Virumbu - Part 1</t>
  </si>
  <si>
    <t>Jay Zen</t>
  </si>
  <si>
    <t>978-93-48138-44-6</t>
  </si>
  <si>
    <t>Self Improvement</t>
  </si>
  <si>
    <t>Oru Koppai Zen</t>
  </si>
  <si>
    <t>978-81-19257-68-3</t>
  </si>
  <si>
    <t>Zen Tablets</t>
  </si>
  <si>
    <t>978-81-19257-67-6</t>
  </si>
  <si>
    <t>D.M.K. – Samooga Neethi</t>
  </si>
  <si>
    <t>K.S. Radhakrishnan</t>
  </si>
  <si>
    <t>978-93-5942-405-7</t>
  </si>
  <si>
    <t>Eezha Tamizhar Prachanai</t>
  </si>
  <si>
    <t>978-93-5942-287-9</t>
  </si>
  <si>
    <t>Kanavaagi Pona Katchatheevu</t>
  </si>
  <si>
    <t>978-93-5942-973-1</t>
  </si>
  <si>
    <t>Karisal Kaattin Kavithai Solai Bharathi</t>
  </si>
  <si>
    <t>978-93-5695-687-2</t>
  </si>
  <si>
    <t>Ki.Ra. Nooru - Thoguthi 1</t>
  </si>
  <si>
    <t xml:space="preserve">978-93-5695-688-9 </t>
  </si>
  <si>
    <t>Ki.Ra. Nooru - Thoguthi 2</t>
  </si>
  <si>
    <t>978-93-5695-685-8</t>
  </si>
  <si>
    <t>Mannin Perumai</t>
  </si>
  <si>
    <t>978-93-5695-891-3</t>
  </si>
  <si>
    <t>Si(ri)thralaya</t>
  </si>
  <si>
    <t>Kalachakram Narasimha</t>
  </si>
  <si>
    <t>978-93-5695-732-9</t>
  </si>
  <si>
    <t>Cinema</t>
  </si>
  <si>
    <t>Athe Athe... Saba Pathe...</t>
  </si>
  <si>
    <t>978-81-19257-33-1</t>
  </si>
  <si>
    <t>Thisai Maariya Paravaigal!</t>
  </si>
  <si>
    <t>978-81-992342-4-6</t>
  </si>
  <si>
    <t>Vangala Viriguda Ennum Asuran</t>
  </si>
  <si>
    <t>978-81-991701-1-7</t>
  </si>
  <si>
    <t>Selvathul Ellam Thalai</t>
  </si>
  <si>
    <t>978-81-991701-3-1</t>
  </si>
  <si>
    <t>Pogathey... Pogathey... En Kanava...!</t>
  </si>
  <si>
    <t>978-81-993374-1-1</t>
  </si>
  <si>
    <t>Kuberavana Kaaval</t>
  </si>
  <si>
    <t>978-93-90102-84-6</t>
  </si>
  <si>
    <t>The Conch Island</t>
  </si>
  <si>
    <t>978-93-90102-22-8</t>
  </si>
  <si>
    <t>Rangarattinam</t>
  </si>
  <si>
    <t>978-93-90102-62-4</t>
  </si>
  <si>
    <t>Koodalazhahi - Part 1</t>
  </si>
  <si>
    <t>978-81-992924-6-8</t>
  </si>
  <si>
    <t>Koodalazhagi - Part 2</t>
  </si>
  <si>
    <t>978-93-90102-51-8</t>
  </si>
  <si>
    <t>Kaadhalikka Neramillai Uruvana Kathai</t>
  </si>
  <si>
    <t>978-81-19257-32-4</t>
  </si>
  <si>
    <t>Anniya Mannil Sivantha Mann</t>
  </si>
  <si>
    <t>978-93-30102-75-4</t>
  </si>
  <si>
    <t>Aanandha Nilaiyam</t>
  </si>
  <si>
    <t>Kalaimamani Kovai Anuradha</t>
  </si>
  <si>
    <t>978-93-5695-503-5</t>
  </si>
  <si>
    <t>Aviyal</t>
  </si>
  <si>
    <t>978-81-19257-46-1</t>
  </si>
  <si>
    <t>Kavarchi Illamal Kalyanama?</t>
  </si>
  <si>
    <t>978-93-5695-003-0</t>
  </si>
  <si>
    <t>Maamiyaar 65@hotmail.com</t>
  </si>
  <si>
    <t>978-93-5942-030-1</t>
  </si>
  <si>
    <t>Nagaichuvai Nadagangal</t>
  </si>
  <si>
    <t>978-93-5695-000-9</t>
  </si>
  <si>
    <t>Pavithra</t>
  </si>
  <si>
    <t>978-81-19257-48-5</t>
  </si>
  <si>
    <t>Peikku Vaakkappattal?</t>
  </si>
  <si>
    <t>978-93-5695-500-4</t>
  </si>
  <si>
    <t>Puthiya Porattam</t>
  </si>
  <si>
    <t>978-93-5695-799-2</t>
  </si>
  <si>
    <t>Thallupadi Dhandapani...</t>
  </si>
  <si>
    <t>978-93-5695-499-1</t>
  </si>
  <si>
    <t>Vendam Andha Pathavi Uyarvu...</t>
  </si>
  <si>
    <t>978-93-5695-692-6</t>
  </si>
  <si>
    <t>Kamba Ramayanam - Aaranya Kandam</t>
  </si>
  <si>
    <t>Kambar</t>
  </si>
  <si>
    <t>978-93-5942-339-5</t>
  </si>
  <si>
    <t>Kamba Ramayanam - Ayodhya Kandam</t>
  </si>
  <si>
    <t>978-93-5942-393-7</t>
  </si>
  <si>
    <t>Kamba Ramayanam - Kishkindha Kandam</t>
  </si>
  <si>
    <t>978-93-5942-202-2</t>
  </si>
  <si>
    <t>Kamba Ramayanam - Bala Kandam</t>
  </si>
  <si>
    <t>978-93-5942-554-2</t>
  </si>
  <si>
    <t>Kamba Ramayanam - Sundara Kandam</t>
  </si>
  <si>
    <t>978-93-95686-40-2</t>
  </si>
  <si>
    <t>Kamba Ramayanam - Yuddha Kandam</t>
  </si>
  <si>
    <t>978-93-5942-378-4</t>
  </si>
  <si>
    <t>Brindhavanamum Premakumaranum</t>
  </si>
  <si>
    <t>Kanchana Jeyathilagar</t>
  </si>
  <si>
    <t>978-93-5695-880-7</t>
  </si>
  <si>
    <t>En Yavana Rani</t>
  </si>
  <si>
    <t>978-93-5695-813-5</t>
  </si>
  <si>
    <t>Jannal Kaatragi Vaa!</t>
  </si>
  <si>
    <t>978-93-5942-996-0</t>
  </si>
  <si>
    <t>Man Kudhiraigal</t>
  </si>
  <si>
    <t>978-93-5942-840-6</t>
  </si>
  <si>
    <t>Manasellam Malligai</t>
  </si>
  <si>
    <t>978-93-5942-878-9</t>
  </si>
  <si>
    <t>Mazhai Pol Nee</t>
  </si>
  <si>
    <t>978-93-5695-820-3</t>
  </si>
  <si>
    <t>Nizhalil Oru Nilavu</t>
  </si>
  <si>
    <t>978-93-5942-653-2</t>
  </si>
  <si>
    <t>Pallaviye Saranam!</t>
  </si>
  <si>
    <t>978-93-5695-816-6</t>
  </si>
  <si>
    <t>Pine Marangaloodey Oru Paadam!</t>
  </si>
  <si>
    <t>978-93-94833-15-9</t>
  </si>
  <si>
    <t>Chekku Maadugal</t>
  </si>
  <si>
    <t>Komal Swaminathan</t>
  </si>
  <si>
    <t>978-93-48138-57-6</t>
  </si>
  <si>
    <t>Manithan Ennum Theevu</t>
  </si>
  <si>
    <t>978-93-48138-56-9</t>
  </si>
  <si>
    <t>Karuppu Viyazhakkizhamai</t>
  </si>
  <si>
    <t>978-81-992627-6-8</t>
  </si>
  <si>
    <t>Political</t>
  </si>
  <si>
    <t>Irutile Thedatheenga</t>
  </si>
  <si>
    <t>978-93-48658-78-4</t>
  </si>
  <si>
    <t>Nalliravil Pettrom</t>
  </si>
  <si>
    <t>978-93-48658-89-0</t>
  </si>
  <si>
    <t>En Veedu En Kanavan En Kulzanthai</t>
  </si>
  <si>
    <t>978-93-48970-49-7</t>
  </si>
  <si>
    <t>Asoka Vanam</t>
  </si>
  <si>
    <t>978-93-48658-44-9</t>
  </si>
  <si>
    <t>Jesus Varuvaar</t>
  </si>
  <si>
    <t>978-93-49330-03-0</t>
  </si>
  <si>
    <t>Religion</t>
  </si>
  <si>
    <t>Swarga Boomi</t>
  </si>
  <si>
    <t>978-93-48970-24-4</t>
  </si>
  <si>
    <t>Raja Parambarai</t>
  </si>
  <si>
    <t>978-93-49330-34-4</t>
  </si>
  <si>
    <t>Paranthu Pona Pakkangal</t>
  </si>
  <si>
    <t>978-93-48658-63-0</t>
  </si>
  <si>
    <t>Nawab Naarkaali</t>
  </si>
  <si>
    <t>978-81-987589-5-8</t>
  </si>
  <si>
    <t>Bathilukku Bathil</t>
  </si>
  <si>
    <t>Kottayam Pushpanath</t>
  </si>
  <si>
    <t>978-81-19478-02-6</t>
  </si>
  <si>
    <t>Kadathal Kaatru</t>
  </si>
  <si>
    <t>978-81-979776-8-8</t>
  </si>
  <si>
    <t>Mandhira Muzhakkam</t>
  </si>
  <si>
    <t>978-93-5695-796-1</t>
  </si>
  <si>
    <t>Mannukku Vandha Nila</t>
  </si>
  <si>
    <t>978-81-979776-1-9</t>
  </si>
  <si>
    <t>Marine Drive</t>
  </si>
  <si>
    <t>978-81-19478-03-3</t>
  </si>
  <si>
    <t>Marma Maaligai</t>
  </si>
  <si>
    <t>978-81-19478-00-2</t>
  </si>
  <si>
    <t>Naaga Salangai</t>
  </si>
  <si>
    <t>978-93-5695-798-5</t>
  </si>
  <si>
    <t>Nizhal Illatha Manithan</t>
  </si>
  <si>
    <t>978-81-979776-2-6</t>
  </si>
  <si>
    <t>Sahasa Mohini</t>
  </si>
  <si>
    <t>Mohini Koil</t>
  </si>
  <si>
    <t>Deva Narthagi</t>
  </si>
  <si>
    <t>978-93-5942-891-8</t>
  </si>
  <si>
    <t>Vaa! Arugil Vaa!</t>
  </si>
  <si>
    <t>978-81-979776-9-5</t>
  </si>
  <si>
    <t>Abitha</t>
  </si>
  <si>
    <t>La. Sa. Ramamirtham</t>
  </si>
  <si>
    <t>978-93-94922-95-2</t>
  </si>
  <si>
    <t>Alaigal</t>
  </si>
  <si>
    <t>978-93-94922-12-9</t>
  </si>
  <si>
    <t>Alaigal Oivathillai</t>
  </si>
  <si>
    <t>978-93-94922-84-6</t>
  </si>
  <si>
    <t>Aval</t>
  </si>
  <si>
    <t>978-93-94922-19-8</t>
  </si>
  <si>
    <t>Dhvani</t>
  </si>
  <si>
    <t>978-93-94922-43-3</t>
  </si>
  <si>
    <t>Pachai Kanavu</t>
  </si>
  <si>
    <t>978-93-94833-43-2</t>
  </si>
  <si>
    <t>Puthra</t>
  </si>
  <si>
    <t>978-93-94922-75-4</t>
  </si>
  <si>
    <t>Africa Kandathil Pala Aandugal</t>
  </si>
  <si>
    <t>Lakshmi</t>
  </si>
  <si>
    <t>978-93-5942-519-1</t>
  </si>
  <si>
    <t>Amma! Enakkaga...</t>
  </si>
  <si>
    <t>978-93-48970-27-5</t>
  </si>
  <si>
    <t>Ammavukku Kalyanam</t>
  </si>
  <si>
    <t>978-93-5695-155-6</t>
  </si>
  <si>
    <t>Anaikka Oru Karam Vendum</t>
  </si>
  <si>
    <t>978-93-48970-02-2</t>
  </si>
  <si>
    <t>Anithavukku Romba Thunichal</t>
  </si>
  <si>
    <t>978-93-49679-73-3</t>
  </si>
  <si>
    <t>Anthikaala Mogam</t>
  </si>
  <si>
    <t>978-93-95416-31-3</t>
  </si>
  <si>
    <t>Arakku Maaligai</t>
  </si>
  <si>
    <t>978-93-95686-48-8</t>
  </si>
  <si>
    <t>Athai</t>
  </si>
  <si>
    <t>978-93-5695-148-8</t>
  </si>
  <si>
    <t>Athisaya Raagam</t>
  </si>
  <si>
    <t>978-93-5695-031-3</t>
  </si>
  <si>
    <t>Aval Thaayagiraal</t>
  </si>
  <si>
    <t>978-93-95598-66-8</t>
  </si>
  <si>
    <t>Avalukkendru Oru Idam</t>
  </si>
  <si>
    <t>978-93-5695-032-0</t>
  </si>
  <si>
    <t>Azhagin Aarathanai</t>
  </si>
  <si>
    <t>978-93-5695-154-9</t>
  </si>
  <si>
    <t>Azhagu Ennum Deivam</t>
  </si>
  <si>
    <t>978-93-95643-74-0</t>
  </si>
  <si>
    <t>Bhavani</t>
  </si>
  <si>
    <t>978-81-988136-0-2</t>
  </si>
  <si>
    <t>En Manaivi</t>
  </si>
  <si>
    <t>978-81-988136-9-5</t>
  </si>
  <si>
    <t>En Peyar D.G. Karthik</t>
  </si>
  <si>
    <t>978-93-95643-72-6</t>
  </si>
  <si>
    <t>En Veedu</t>
  </si>
  <si>
    <t>978-93-95686-44-0</t>
  </si>
  <si>
    <t>Engey Aval</t>
  </si>
  <si>
    <t>978-93-95248-77-8</t>
  </si>
  <si>
    <t>Gangaiyum Vandhaal</t>
  </si>
  <si>
    <t>978-93-95686-50-1</t>
  </si>
  <si>
    <t>Idho Oru Idhayam</t>
  </si>
  <si>
    <t>978-93-49330-67-2</t>
  </si>
  <si>
    <t>Indrum Naalaiyum</t>
  </si>
  <si>
    <t>978-93-95248-82-2</t>
  </si>
  <si>
    <t>Irandaavathu Amma</t>
  </si>
  <si>
    <t>978-93-95686-05-1</t>
  </si>
  <si>
    <t>Irandavathu Malar</t>
  </si>
  <si>
    <t>978-93-95643-70-2</t>
  </si>
  <si>
    <t>Irandavathu Thenilavu</t>
  </si>
  <si>
    <t>978-93-95643-69-6</t>
  </si>
  <si>
    <t>Irulil Tholaintha Unmai</t>
  </si>
  <si>
    <t>978-93-95301-68-8</t>
  </si>
  <si>
    <t>Jayanthi Vandhal</t>
  </si>
  <si>
    <t>978-93-95416-28-3</t>
  </si>
  <si>
    <t>Kaadhalenum Puyal</t>
  </si>
  <si>
    <t>978-93-95416-30-6</t>
  </si>
  <si>
    <t>Kaadhalin Pidiyil...</t>
  </si>
  <si>
    <t>978-93-5942-426-2</t>
  </si>
  <si>
    <t>Kaadhalin VIlai</t>
  </si>
  <si>
    <t>978-81-988242-0-2</t>
  </si>
  <si>
    <t>Kaala Muzhuvathum Kaathiruppen</t>
  </si>
  <si>
    <t>978-81-988136-8-8</t>
  </si>
  <si>
    <t>Kaaliyin Kanngal</t>
  </si>
  <si>
    <t>978-93-95301-95-4</t>
  </si>
  <si>
    <t>Kaanchanaiyin Kanavu</t>
  </si>
  <si>
    <t>978-93-5695-549-3</t>
  </si>
  <si>
    <t>Kai Maariya Poothu</t>
  </si>
  <si>
    <t>978-93-95598-71-2</t>
  </si>
  <si>
    <t>Kaiyil Alliya Malargal</t>
  </si>
  <si>
    <t>978-93-48970-21-3</t>
  </si>
  <si>
    <t>Kanavan Amaivathellam</t>
  </si>
  <si>
    <t>978-93-95598-65-1</t>
  </si>
  <si>
    <t>Kashmir Kathi</t>
  </si>
  <si>
    <t>978-93-95598-64-4</t>
  </si>
  <si>
    <t>Kathavu Thiranthaal</t>
  </si>
  <si>
    <t>978-93-49679-48-1</t>
  </si>
  <si>
    <t>Kazhuthil Vizhuntha Maalai</t>
  </si>
  <si>
    <t>978-93-95686-42-6</t>
  </si>
  <si>
    <t>Koondukku Veliye</t>
  </si>
  <si>
    <t>978-93-5942-771-3</t>
  </si>
  <si>
    <t>Koondukulley Oru Pachai Kili</t>
  </si>
  <si>
    <t>978-93-95643-66-5</t>
  </si>
  <si>
    <t>Kooramal Sanyasam</t>
  </si>
  <si>
    <t>978-93-95301-94-7</t>
  </si>
  <si>
    <t>Kuruvi Koodu</t>
  </si>
  <si>
    <t>978-81-979776-0-2</t>
  </si>
  <si>
    <t>Latchiyavadhi</t>
  </si>
  <si>
    <t>978-93-48970-60-2</t>
  </si>
  <si>
    <t>Maayamaan</t>
  </si>
  <si>
    <t>978-93-95248-80-8</t>
  </si>
  <si>
    <t>Malathi Oru Athirchi</t>
  </si>
  <si>
    <t>978-93-5942-676-1</t>
  </si>
  <si>
    <t>Manam Oru Rangarattinam</t>
  </si>
  <si>
    <t>978-93-95598-73-6</t>
  </si>
  <si>
    <t>Mangalavin Kanavan</t>
  </si>
  <si>
    <t>978-81-979776-3-3</t>
  </si>
  <si>
    <t>Mann Kuthirai</t>
  </si>
  <si>
    <t>978-93-5695-035-1</t>
  </si>
  <si>
    <t>Mannum Pennum</t>
  </si>
  <si>
    <t>978-93-95248-78-5</t>
  </si>
  <si>
    <t>Maragatham</t>
  </si>
  <si>
    <t>978-93-95301-92-3</t>
  </si>
  <si>
    <t>Marupadiyumaa?</t>
  </si>
  <si>
    <t>978-93-5695-595-0</t>
  </si>
  <si>
    <t>Mogathirai</t>
  </si>
  <si>
    <t>978-93-5695-034-4</t>
  </si>
  <si>
    <t>Mohini Vandhal</t>
  </si>
  <si>
    <t>978-93-5942-897-0</t>
  </si>
  <si>
    <t>Murugan Sirithaan</t>
  </si>
  <si>
    <t>978-81-979776-4-0</t>
  </si>
  <si>
    <t>Nayakkar Makkal</t>
  </si>
  <si>
    <t>978-93-95686-47-1</t>
  </si>
  <si>
    <t>Neela Pudavai</t>
  </si>
  <si>
    <t>978-93-48970-42-8</t>
  </si>
  <si>
    <t>Nirka Neramillai</t>
  </si>
  <si>
    <t>978-93-95686-43-3</t>
  </si>
  <si>
    <t>Niyayangal Maarum Pothu...</t>
  </si>
  <si>
    <t>978-93-48970-48-0</t>
  </si>
  <si>
    <t>Oondru Kol</t>
  </si>
  <si>
    <t>978-93-5695-150-1</t>
  </si>
  <si>
    <t>Oru Kaviriyai Pola...</t>
  </si>
  <si>
    <t>978-93-95686-46-4</t>
  </si>
  <si>
    <t>Oru Mudivin Aarambam</t>
  </si>
  <si>
    <t>978-93-5942-761-4</t>
  </si>
  <si>
    <t>Oru Sivappu Patchaiyaakirathu</t>
  </si>
  <si>
    <t>978-93-5942-229-9</t>
  </si>
  <si>
    <t>Paathaiyil Kidantha Oru Panimalar</t>
  </si>
  <si>
    <t>978-93-5942-936-6</t>
  </si>
  <si>
    <t>Pannaiyar Magal</t>
  </si>
  <si>
    <t>978-93-95686-49-5</t>
  </si>
  <si>
    <t>Penn Manam</t>
  </si>
  <si>
    <t>978-93-95416-36-8</t>
  </si>
  <si>
    <t>Pennin Parisu</t>
  </si>
  <si>
    <t>978-93-49679-86-3</t>
  </si>
  <si>
    <t>Puliyin Pasi</t>
  </si>
  <si>
    <t>978-93-95416-27-6</t>
  </si>
  <si>
    <t>Puthaimanal</t>
  </si>
  <si>
    <t>978-93-95643-73-3</t>
  </si>
  <si>
    <t>Roja Vairam</t>
  </si>
  <si>
    <t>978-93-95643-71-9</t>
  </si>
  <si>
    <t>Saatharana Manidhan</t>
  </si>
  <si>
    <t>978-93-5695-149-5</t>
  </si>
  <si>
    <t>Seerinal Chitra</t>
  </si>
  <si>
    <t>978-93-5942-708-9</t>
  </si>
  <si>
    <t>Siragu Mulaitha Pinnar</t>
  </si>
  <si>
    <t>978-93-5695-152-5</t>
  </si>
  <si>
    <t>Sorkathin Kadhavugal</t>
  </si>
  <si>
    <t>978-93-95248-84-6</t>
  </si>
  <si>
    <t>Srimathi Mythili</t>
  </si>
  <si>
    <t>978-93-95686-45-7</t>
  </si>
  <si>
    <t>Suriyakantham</t>
  </si>
  <si>
    <t>978-93-95248-85-3</t>
  </si>
  <si>
    <t>Thai Pirakkattum</t>
  </si>
  <si>
    <t>978-93-95301-91-6</t>
  </si>
  <si>
    <t>Thedikkonde Iruppen</t>
  </si>
  <si>
    <t>978-93-48970-65-7</t>
  </si>
  <si>
    <t>Thoduvaanam Varaiyil...</t>
  </si>
  <si>
    <t>978-93-5942-538-2</t>
  </si>
  <si>
    <t>Thunai Thedum Pothu</t>
  </si>
  <si>
    <t>978-81-988573-2-3</t>
  </si>
  <si>
    <t>Unmai Oomaiyalla</t>
  </si>
  <si>
    <t>978-93-5942-863-5</t>
  </si>
  <si>
    <t>Uravin Kural</t>
  </si>
  <si>
    <t>978-93-95301-93-0</t>
  </si>
  <si>
    <t>Uravu Solli Kondu...</t>
  </si>
  <si>
    <t>978-93-5942-465-1</t>
  </si>
  <si>
    <t>Vaanam Paadikku Oru Vilangu</t>
  </si>
  <si>
    <t>978-93-49679-08-5</t>
  </si>
  <si>
    <t>Vadakke Oru Santhippu</t>
  </si>
  <si>
    <t>978-93-5942-327-2</t>
  </si>
  <si>
    <t>Vaira Mookuthi</t>
  </si>
  <si>
    <t>978-93-95416-29-0</t>
  </si>
  <si>
    <t>Vasanthathil Oru Naal</t>
  </si>
  <si>
    <t>978-93-5942-359-3</t>
  </si>
  <si>
    <t>Vasanthikku Vantha Aasai</t>
  </si>
  <si>
    <t>978-81-988242-5-7</t>
  </si>
  <si>
    <t>Vazha Ninaithaal</t>
  </si>
  <si>
    <t>978-93-95598-68-2</t>
  </si>
  <si>
    <t>Veena Oru Veenai</t>
  </si>
  <si>
    <t>978-93-48970-14-5</t>
  </si>
  <si>
    <t>Velichathai Thedi...</t>
  </si>
  <si>
    <t>978-93-95248-79-2</t>
  </si>
  <si>
    <t>Veliyorathil Oru Malar</t>
  </si>
  <si>
    <t>978-93-49679-01-6</t>
  </si>
  <si>
    <t>Vellai Nirathil Oru Poonai</t>
  </si>
  <si>
    <t>978-93-5942-563-4</t>
  </si>
  <si>
    <t>Vidivelli</t>
  </si>
  <si>
    <t>978-93-5942-724-9</t>
  </si>
  <si>
    <t>Vidiyatha Iravu</t>
  </si>
  <si>
    <t>978-93-95301-71-8</t>
  </si>
  <si>
    <t>Adutha Veedu</t>
  </si>
  <si>
    <t>978-93-95686-51-8</t>
  </si>
  <si>
    <t>Iniya Unarvey Ennai Kollathey</t>
  </si>
  <si>
    <t>978-93-5695-033-7</t>
  </si>
  <si>
    <t>Pookuzhii</t>
  </si>
  <si>
    <t>978-93-5695-147-1</t>
  </si>
  <si>
    <t>Radhavin Thirumanam</t>
  </si>
  <si>
    <t>978-93-95416-35-1</t>
  </si>
  <si>
    <t>Marumagal</t>
  </si>
  <si>
    <t>978-93-95301-69-5</t>
  </si>
  <si>
    <t>978-93-48970-56-5</t>
  </si>
  <si>
    <t>Nallathoor Veenai</t>
  </si>
  <si>
    <t>978-93-95416-99-3</t>
  </si>
  <si>
    <t>Avanum Raman Thaan</t>
  </si>
  <si>
    <t>978-93-5942-532-0</t>
  </si>
  <si>
    <t>Unnai Vidava, Ramya</t>
  </si>
  <si>
    <t>978-93-5695-153-2</t>
  </si>
  <si>
    <t>Urimai Urangukirathu !</t>
  </si>
  <si>
    <t>978-93-95248-86-0</t>
  </si>
  <si>
    <t>Kadaisi Varai</t>
  </si>
  <si>
    <t>978-93-5942-721-8</t>
  </si>
  <si>
    <t>Nigazh Kathaigal</t>
  </si>
  <si>
    <t>978-93-5695-151-8</t>
  </si>
  <si>
    <t>Aval Oru Thendral</t>
  </si>
  <si>
    <t>978-93-95301-70-1</t>
  </si>
  <si>
    <t>Neethikku Kaigal Neelam</t>
  </si>
  <si>
    <t>978-93-95598-70-5</t>
  </si>
  <si>
    <t>Uyirey Odivaa !</t>
  </si>
  <si>
    <t>978-93-48970-76-3</t>
  </si>
  <si>
    <t>Narmatha Yen Pogiral ?</t>
  </si>
  <si>
    <t>978-93-5942-995-3</t>
  </si>
  <si>
    <t>Punitha Oru Puthir</t>
  </si>
  <si>
    <t>978-93-95416-34-4</t>
  </si>
  <si>
    <t>Ivala En Magal ?</t>
  </si>
  <si>
    <t>978-93-95643-68-9</t>
  </si>
  <si>
    <t>Megala</t>
  </si>
  <si>
    <t>978-93-95416-33-7</t>
  </si>
  <si>
    <t>Mithala Vilas</t>
  </si>
  <si>
    <t>978-93-5695-594-3</t>
  </si>
  <si>
    <t>Meendum Penn Manam</t>
  </si>
  <si>
    <t>978-93-95643-65-8</t>
  </si>
  <si>
    <t>Ivanum Oru Parasuraman</t>
  </si>
  <si>
    <t>978-93-5942-322-7</t>
  </si>
  <si>
    <t>Irandu Pengal</t>
  </si>
  <si>
    <t>978-93-95643-67-2</t>
  </si>
  <si>
    <t>Vilvandi</t>
  </si>
  <si>
    <t>978-93-95248-81-5</t>
  </si>
  <si>
    <t>Uyarvu</t>
  </si>
  <si>
    <t>978-93-48970-01-5</t>
  </si>
  <si>
    <t>Ilankaatru Veesuthey...</t>
  </si>
  <si>
    <t>Lakshmi Sudha</t>
  </si>
  <si>
    <t>978-93-5695-552-3</t>
  </si>
  <si>
    <t>Kaatrinile Varum Thendral</t>
  </si>
  <si>
    <t>978-93-5695-565-3</t>
  </si>
  <si>
    <t>Margazhi Maatha Nila!</t>
  </si>
  <si>
    <t>978-93-5695-556-1</t>
  </si>
  <si>
    <t>Natchathira Poonthottathil</t>
  </si>
  <si>
    <t>978-81-19166-52-7</t>
  </si>
  <si>
    <t>Paarthirunthaal Varuven Vennilaviley...</t>
  </si>
  <si>
    <t>978-93-5695-538-7</t>
  </si>
  <si>
    <t>Puthiya Raagam</t>
  </si>
  <si>
    <t>978-93-5695-877-7</t>
  </si>
  <si>
    <t>Velicha Poove Vaa</t>
  </si>
  <si>
    <t>978-93-5695-883-8</t>
  </si>
  <si>
    <t>Birds And Gods - Omens, Vahanas And Strange Stories From Hindu Scriptures</t>
  </si>
  <si>
    <t>London Swaminathan</t>
  </si>
  <si>
    <t>978-93-5695-372-7</t>
  </si>
  <si>
    <t>Date of Mahabharata War and other Research Articles</t>
  </si>
  <si>
    <t>978-81-19166-62-6</t>
  </si>
  <si>
    <t>Hindu Influence in Mesopotamia and Iran</t>
  </si>
  <si>
    <t>978-81-19166-58-9</t>
  </si>
  <si>
    <t>Pengal Vaazhga</t>
  </si>
  <si>
    <t>978-93-94922-82-2</t>
  </si>
  <si>
    <t>Sumeriavil Tamil Yazh! Japanil Saama Vedha Isai!!</t>
  </si>
  <si>
    <t>978-93-95277-02-0</t>
  </si>
  <si>
    <t>Research</t>
  </si>
  <si>
    <t>Thailand, Vietnam, Cambodia-vil Tamil Muzhakkam</t>
  </si>
  <si>
    <t>978-93-95441-07-0</t>
  </si>
  <si>
    <t>The Wonder That Is Hindu Temple</t>
  </si>
  <si>
    <t>978-93-5695-381-9</t>
  </si>
  <si>
    <t>Ulagam Muzhuthum Paambu Vazhipaadu!</t>
  </si>
  <si>
    <t>978-93-95441-09-4</t>
  </si>
  <si>
    <t>A Phantom Tiger and Other Stories</t>
  </si>
  <si>
    <t>Maalan</t>
  </si>
  <si>
    <t>978-93-94922-93-8</t>
  </si>
  <si>
    <t>Aaiyram Kagitha Kokkugal</t>
  </si>
  <si>
    <t>978-93-94922-21-1</t>
  </si>
  <si>
    <t>Kaadhalinaal...</t>
  </si>
  <si>
    <t>978-93-94833-13-5</t>
  </si>
  <si>
    <t>Kanal Silambu</t>
  </si>
  <si>
    <t>978-93-5942-687-7</t>
  </si>
  <si>
    <t>Manaveli Kalaignan</t>
  </si>
  <si>
    <t>978-93-94922-02-0</t>
  </si>
  <si>
    <t>Mao Zedong Kavithaigal</t>
  </si>
  <si>
    <t>978-93-5942-358-6</t>
  </si>
  <si>
    <t>Nandhalala</t>
  </si>
  <si>
    <t>978-93-94922-98-3</t>
  </si>
  <si>
    <t>Vazhkkai</t>
  </si>
  <si>
    <t>978-93-95001-00-7</t>
  </si>
  <si>
    <t>Arusuvai</t>
  </si>
  <si>
    <t>Madipakkam Venkat</t>
  </si>
  <si>
    <t>978-93-5942-006-6</t>
  </si>
  <si>
    <t>Kanavu Thozhirsalai</t>
  </si>
  <si>
    <t>978-81-988136-6-4</t>
  </si>
  <si>
    <t>Lockdownum Appusamyum</t>
  </si>
  <si>
    <t>978-93-5942-005-9</t>
  </si>
  <si>
    <t>Panniru Azhwargal</t>
  </si>
  <si>
    <t>Mannai Pasanthy</t>
  </si>
  <si>
    <t>978-81-19166-71-8</t>
  </si>
  <si>
    <t>Sangeetha Mahangal</t>
  </si>
  <si>
    <t>978-93-5695-906-4</t>
  </si>
  <si>
    <t>Vinveli Thazhumbugal</t>
  </si>
  <si>
    <t>Nambi Narayanan</t>
  </si>
  <si>
    <t>978-93-5942-595-5</t>
  </si>
  <si>
    <t>Mura Penn</t>
  </si>
  <si>
    <t>Nandhu Sundhu</t>
  </si>
  <si>
    <t>978-93-5942-350-0</t>
  </si>
  <si>
    <t>Anbudai Nenjam</t>
  </si>
  <si>
    <t>Natham S. Suresh Babu</t>
  </si>
  <si>
    <t>978-93-5695-766-4</t>
  </si>
  <si>
    <t>Kullanariyin Vivasayam</t>
  </si>
  <si>
    <t>978-93-5695-765-7</t>
  </si>
  <si>
    <t>Children</t>
  </si>
  <si>
    <t>Thavalai Ilavarasi</t>
  </si>
  <si>
    <t>978-93-5942-340-1</t>
  </si>
  <si>
    <t>...Enavey, Ennodu Vaa!</t>
  </si>
  <si>
    <t>Pattukottai Prabakar</t>
  </si>
  <si>
    <t>978-93-5942-784-3</t>
  </si>
  <si>
    <t>7, December - 85</t>
  </si>
  <si>
    <t>978-93-5942-420-0</t>
  </si>
  <si>
    <t>Aa...!</t>
  </si>
  <si>
    <t>978-93-5942-523-8</t>
  </si>
  <si>
    <t>Aagave, Section 302padi...</t>
  </si>
  <si>
    <t>978-93-95166-00-3</t>
  </si>
  <si>
    <t>Aamam / Illai</t>
  </si>
  <si>
    <t>978-93-90102-68-6</t>
  </si>
  <si>
    <t>Aimbathu Latcham Dosai!</t>
  </si>
  <si>
    <t>978-93-90102-27-3</t>
  </si>
  <si>
    <t>Anbulla… Ippadikku,</t>
  </si>
  <si>
    <t>978-93-5942-336-4</t>
  </si>
  <si>
    <t>Andha Moondru Naatkal</t>
  </si>
  <si>
    <t>978-93-5942-719-5</t>
  </si>
  <si>
    <t>Andha Nimidam Sorgam</t>
  </si>
  <si>
    <t>978-93-5942-978-6</t>
  </si>
  <si>
    <t>Angey! Ingey! Engey?</t>
  </si>
  <si>
    <t>978-81-19556-12-0</t>
  </si>
  <si>
    <t>Anthapurathil Oru Poo</t>
  </si>
  <si>
    <t>978-93-5942-588-7</t>
  </si>
  <si>
    <t>Apple Sathi</t>
  </si>
  <si>
    <t>978-93-5942-235-0</t>
  </si>
  <si>
    <t>Ariyum Paruvam</t>
  </si>
  <si>
    <t>978-93-95166-01-0</t>
  </si>
  <si>
    <t>Arugil.. Miga Arugil..</t>
  </si>
  <si>
    <t>978-93-5942-762-1</t>
  </si>
  <si>
    <t>Atho Ange Aarambam</t>
  </si>
  <si>
    <t>978-81-989857-1-2</t>
  </si>
  <si>
    <t>Avan Thappa Koodathu!</t>
  </si>
  <si>
    <t>978-81-19478-49-1</t>
  </si>
  <si>
    <t>Azhagiya Penney</t>
  </si>
  <si>
    <t>978-81-19556-13-7</t>
  </si>
  <si>
    <t>Bathil Tha Bharath!</t>
  </si>
  <si>
    <t>978-81-19478-88-0</t>
  </si>
  <si>
    <t>Bharath And Pattampoochi</t>
  </si>
  <si>
    <t xml:space="preserve">978-81-19556-31-1 </t>
  </si>
  <si>
    <t>Bharath Bharath Paranthu Vaa</t>
  </si>
  <si>
    <t>978-93-5942-589-4</t>
  </si>
  <si>
    <t>Bharath Irukka Bayam Yen?</t>
  </si>
  <si>
    <t>978-93-5942-136-0</t>
  </si>
  <si>
    <t>Bharath Speaking</t>
  </si>
  <si>
    <t>978-81-19556-52-6</t>
  </si>
  <si>
    <t>Bharath, Oru Panthayam</t>
  </si>
  <si>
    <t>978-81-19556-15-1</t>
  </si>
  <si>
    <t>Brindavanamum Nondha Kumaranum</t>
  </si>
  <si>
    <t>978-93-5942-159-9</t>
  </si>
  <si>
    <t>Chennai Azhagiyum Settai Gopiyum!</t>
  </si>
  <si>
    <t>978-93-5942-427-9</t>
  </si>
  <si>
    <t>China Pona Pena!</t>
  </si>
  <si>
    <t>978-93-5942-242-8</t>
  </si>
  <si>
    <t>Travelogue</t>
  </si>
  <si>
    <t>Cricket Raathiri</t>
  </si>
  <si>
    <t>978-81-19556-23-6</t>
  </si>
  <si>
    <t>Dear Mr. Bharath</t>
  </si>
  <si>
    <t>978-93-5942-624-2</t>
  </si>
  <si>
    <t>Ellam Poi</t>
  </si>
  <si>
    <t>978-81-989857-4-3</t>
  </si>
  <si>
    <t>En Iniya Yethiri</t>
  </si>
  <si>
    <t>978-93-49330-38-2</t>
  </si>
  <si>
    <t>En Kaadhal Mannavaney</t>
  </si>
  <si>
    <t>978-93-5942-422-4</t>
  </si>
  <si>
    <t>En Kanney, Yen Kanney?</t>
  </si>
  <si>
    <t>978-93-5942-591-7</t>
  </si>
  <si>
    <t>Enakkum Thayam Vizhum</t>
  </si>
  <si>
    <t>978-93-48970-82-4</t>
  </si>
  <si>
    <t>From Zero To Hero</t>
  </si>
  <si>
    <t>978-93-5942-974-8</t>
  </si>
  <si>
    <t>Happy Bharath Day!</t>
  </si>
  <si>
    <t>978-81-19478-12-5</t>
  </si>
  <si>
    <t>Hello 100</t>
  </si>
  <si>
    <t>978-81-988459-6-2</t>
  </si>
  <si>
    <t>Idhaya Regai</t>
  </si>
  <si>
    <t>978-81-979384-3-6</t>
  </si>
  <si>
    <t>Imaikatha Iravu</t>
  </si>
  <si>
    <t>978-93-5695-907-1</t>
  </si>
  <si>
    <t>Imaikkum Nerathil</t>
  </si>
  <si>
    <t>978-81-19556-26-7</t>
  </si>
  <si>
    <t>Indhu Maha Sarithram</t>
  </si>
  <si>
    <t>978-93-5942-904-5</t>
  </si>
  <si>
    <t>India Neram 2 AM</t>
  </si>
  <si>
    <t>978-81-988242-2-6</t>
  </si>
  <si>
    <t>India Thozhan</t>
  </si>
  <si>
    <t>978-93-5942-925-0</t>
  </si>
  <si>
    <t>Indiargal Kaadhalikkirargal!</t>
  </si>
  <si>
    <t>978-93-90102-38-9</t>
  </si>
  <si>
    <t>Indru Muthal</t>
  </si>
  <si>
    <t>978-93-5942-951-9</t>
  </si>
  <si>
    <t>Ini Avan Iranthavan</t>
  </si>
  <si>
    <t>978-93-5942-278-7</t>
  </si>
  <si>
    <t>Ini Illai Idaivelai</t>
  </si>
  <si>
    <t>978-93-49330-57-3</t>
  </si>
  <si>
    <t>Ini Ithu Vithi</t>
  </si>
  <si>
    <t>978-93-5942-460-6</t>
  </si>
  <si>
    <t>Ini Oru Sathi Seivom</t>
  </si>
  <si>
    <t>978-81-19556-09-0</t>
  </si>
  <si>
    <t>Ini... Iniya...</t>
  </si>
  <si>
    <t>978-93-5695-895-1</t>
  </si>
  <si>
    <t>Inimealthan Irukkirathu</t>
  </si>
  <si>
    <t>978-81-19478-09-5</t>
  </si>
  <si>
    <t>Innum Sila Nimidangalil...</t>
  </si>
  <si>
    <t>978-93-49330-02-3</t>
  </si>
  <si>
    <t>Ippadikku Indhu...</t>
  </si>
  <si>
    <t>978-81-988242-3-3</t>
  </si>
  <si>
    <t>Iranthavan Sirippu</t>
  </si>
  <si>
    <t>978-93-5942-776-8</t>
  </si>
  <si>
    <t>Irappathu Sugam...</t>
  </si>
  <si>
    <t>978-93-5942-728-7</t>
  </si>
  <si>
    <t>Iravil Arugil Nizhalil...</t>
  </si>
  <si>
    <t>978-81-991860-6-4</t>
  </si>
  <si>
    <t>Iravugal Kanavukkaga...</t>
  </si>
  <si>
    <t>978-93-5942-954-0</t>
  </si>
  <si>
    <t>Ithu Avalin Kathai!</t>
  </si>
  <si>
    <t>978-93-5942-868-0</t>
  </si>
  <si>
    <t>Ithu Bharath Utharavu</t>
  </si>
  <si>
    <t>978-81-19556-19-9</t>
  </si>
  <si>
    <t>Ithu India Padai</t>
  </si>
  <si>
    <t>978-93-48970-04-6</t>
  </si>
  <si>
    <t>Ithu Puthu Sugam</t>
  </si>
  <si>
    <t>978-93-5942-811-6</t>
  </si>
  <si>
    <t>Ithu Raathiri Neram</t>
  </si>
  <si>
    <t>978-93-49330-79-5</t>
  </si>
  <si>
    <t>Jannal Kaithigal</t>
  </si>
  <si>
    <t>978-93-95166-02-7</t>
  </si>
  <si>
    <t>January February Mortuary</t>
  </si>
  <si>
    <t>978-81-19478-08-8</t>
  </si>
  <si>
    <t>Jarigai Medai</t>
  </si>
  <si>
    <t>978-81-992342-6-0</t>
  </si>
  <si>
    <t>Kaadhal Mudichu</t>
  </si>
  <si>
    <t>978-93-49330-12-2</t>
  </si>
  <si>
    <t>Kaadhalargal Jakkirathai</t>
  </si>
  <si>
    <t>978-81-19556-49-6</t>
  </si>
  <si>
    <t>Kaadhalikku Kalyanam</t>
  </si>
  <si>
    <t>978-81-991860-5-7</t>
  </si>
  <si>
    <t>Kaathiru, Kaadhalikkirean!</t>
  </si>
  <si>
    <t>978-93-5695-904-0</t>
  </si>
  <si>
    <t>Kadaisi Athiyaayam</t>
  </si>
  <si>
    <t>978-81-19556-14-4</t>
  </si>
  <si>
    <t>Kadaisi Punnagai</t>
  </si>
  <si>
    <t>978-93-49330-15-3</t>
  </si>
  <si>
    <t>Kadaisi Thotta</t>
  </si>
  <si>
    <t>978-93-5942-265-7</t>
  </si>
  <si>
    <t>Kanavu Payanam</t>
  </si>
  <si>
    <t>978-93-5942-370-8</t>
  </si>
  <si>
    <t>Kanavugal Ilavasam</t>
  </si>
  <si>
    <t>978-93-95166-03-4</t>
  </si>
  <si>
    <t>Kathi Kappal</t>
  </si>
  <si>
    <t>978-81-991860-1-9</t>
  </si>
  <si>
    <t>Kathi Mel Payanam</t>
  </si>
  <si>
    <t>978-93-5942-388-3</t>
  </si>
  <si>
    <t>Kavalai Neram Kaalai 10 Mani</t>
  </si>
  <si>
    <t>978-93-5942-217-6</t>
  </si>
  <si>
    <t>Kekkathey - Kidaikkathu!</t>
  </si>
  <si>
    <t>978-81-19556-28-1</t>
  </si>
  <si>
    <t>Kizhakku Thodarchi Kolaigal</t>
  </si>
  <si>
    <t>978-93-5942-375-3</t>
  </si>
  <si>
    <t>Kulirkaala Kutravaligal</t>
  </si>
  <si>
    <t>978-93-5942-842-0</t>
  </si>
  <si>
    <t>Kuthirai Padai</t>
  </si>
  <si>
    <t>978-81-19478-93-4</t>
  </si>
  <si>
    <t>Kutra Oppantham</t>
  </si>
  <si>
    <t>978-93-5942-992-2</t>
  </si>
  <si>
    <t>Ladies And Ladies</t>
  </si>
  <si>
    <t>978-93-5942-160-5</t>
  </si>
  <si>
    <t>Mad In India</t>
  </si>
  <si>
    <t>978-93-5942-496-5</t>
  </si>
  <si>
    <t>Madhil Mel Manasu</t>
  </si>
  <si>
    <t>978-93-5942-980-9</t>
  </si>
  <si>
    <t>Manmathan Vanthaanadi</t>
  </si>
  <si>
    <t>978-93-5695-785-5</t>
  </si>
  <si>
    <t>Mannikka! Manamillai, Mannikka...!</t>
  </si>
  <si>
    <t>978-81-19478-21-7</t>
  </si>
  <si>
    <t>Marakka Mattean Malini</t>
  </si>
  <si>
    <t>978-81-979384-4-3</t>
  </si>
  <si>
    <t>Maranathil Mannippom</t>
  </si>
  <si>
    <t>978-93-5695-901-9</t>
  </si>
  <si>
    <t>Marupadi Thaa!</t>
  </si>
  <si>
    <t>978-93-49679-60-3</t>
  </si>
  <si>
    <t>Mattravai Un Madiyil</t>
  </si>
  <si>
    <t>978-93-48970-84-8</t>
  </si>
  <si>
    <t>Meendum Arambikkalam</t>
  </si>
  <si>
    <t>978-81-993374-5-9</t>
  </si>
  <si>
    <t>Million Dollar Unmai</t>
  </si>
  <si>
    <t>978-93-5942-972-4</t>
  </si>
  <si>
    <t>Miss India Missing</t>
  </si>
  <si>
    <t>978-93-5942-668-6</t>
  </si>
  <si>
    <t>Murder Market</t>
  </si>
  <si>
    <t>978-93-49330-00-9</t>
  </si>
  <si>
    <t>Naankadi Savukku</t>
  </si>
  <si>
    <t>978-93-5942-921-2</t>
  </si>
  <si>
    <t>Nalamillai... Nalama?</t>
  </si>
  <si>
    <t>978-93-5942-186-5</t>
  </si>
  <si>
    <t>Nalliravu Droham</t>
  </si>
  <si>
    <t>978-81-992924-5-1</t>
  </si>
  <si>
    <t>Nalliravu Natpudan...</t>
  </si>
  <si>
    <t>978-93-5942-511-5</t>
  </si>
  <si>
    <t>Ner Meley Nila</t>
  </si>
  <si>
    <t>978-93-5942-655-6</t>
  </si>
  <si>
    <t>Nerungathey Neruppu</t>
  </si>
  <si>
    <t>978-93-49330-99-3</t>
  </si>
  <si>
    <t>Netru Varai Thozhi</t>
  </si>
  <si>
    <t>978-93-90102-67-9</t>
  </si>
  <si>
    <t>Nila Satchi</t>
  </si>
  <si>
    <t>978-93-5942-453-8</t>
  </si>
  <si>
    <t>Nila Varum Neram</t>
  </si>
  <si>
    <t>978-81-19556-07-6</t>
  </si>
  <si>
    <t>Nilavai Muthamidu</t>
  </si>
  <si>
    <t>978-81-991701-5-5</t>
  </si>
  <si>
    <t>Nirkathey... Kavanikkathey...</t>
  </si>
  <si>
    <t>978-93-5942-399-9</t>
  </si>
  <si>
    <t>No...</t>
  </si>
  <si>
    <t>978-93-5942-837-6</t>
  </si>
  <si>
    <t>No… Sudathea</t>
  </si>
  <si>
    <t>978-93-5942-643-3</t>
  </si>
  <si>
    <t>Oru Coffee Kudikalama?</t>
  </si>
  <si>
    <t>978-81-992924-3-7</t>
  </si>
  <si>
    <t>Oru Kaadhalin Climax</t>
  </si>
  <si>
    <t>978-93-5942-398-2</t>
  </si>
  <si>
    <t>Oru Kappal Muthangal</t>
  </si>
  <si>
    <t>978-81-19556-20-5</t>
  </si>
  <si>
    <t>Oru Koodai Punnagai</t>
  </si>
  <si>
    <t>978-81-19556-29-8</t>
  </si>
  <si>
    <t>Oru Koppai Kaadhal</t>
  </si>
  <si>
    <t>978-81-19556-08-3</t>
  </si>
  <si>
    <t>Oru Nijam Oru Nizhal</t>
  </si>
  <si>
    <t>978-81-991860-7-1</t>
  </si>
  <si>
    <t>Oru Poi Pothum</t>
  </si>
  <si>
    <t>978-81-988242-7-1</t>
  </si>
  <si>
    <t>Oru Thuppakiyum Sila Thottakalum</t>
  </si>
  <si>
    <t>978-81-989857-6-7</t>
  </si>
  <si>
    <t>Panthaya Paavai</t>
  </si>
  <si>
    <t>978-93-5942-391-3</t>
  </si>
  <si>
    <t>Parakkum Mutham</t>
  </si>
  <si>
    <t>978-93-48561-14-5</t>
  </si>
  <si>
    <t>Pasithalum Puli...</t>
  </si>
  <si>
    <t>978-93-90102-69-3</t>
  </si>
  <si>
    <t>Patharathey Bharath</t>
  </si>
  <si>
    <t>978-81-19556-40-3</t>
  </si>
  <si>
    <t>Piragu Oru Maalaiyil...</t>
  </si>
  <si>
    <t>978-93-48970-44-2</t>
  </si>
  <si>
    <t>Please... Please... Bharath!</t>
  </si>
  <si>
    <t>978-81-19556-33-5</t>
  </si>
  <si>
    <t>Pogathey Vara Mattai</t>
  </si>
  <si>
    <t>978-93-48970-36-7</t>
  </si>
  <si>
    <t>Poi, Poiyai Thavira Verillai...!</t>
  </si>
  <si>
    <t>978-93-49330-31-3</t>
  </si>
  <si>
    <t>Priyangaludan Naane</t>
  </si>
  <si>
    <t>978-93-5942-299-2</t>
  </si>
  <si>
    <t>Puthi Munai Kuttram</t>
  </si>
  <si>
    <t>978-93-49679-07-8</t>
  </si>
  <si>
    <t>Puthi Munai Vitthai</t>
  </si>
  <si>
    <t>978-93-5942-701-0</t>
  </si>
  <si>
    <t>Puthithai Pirappom</t>
  </si>
  <si>
    <t>978-93-49330-58-0</t>
  </si>
  <si>
    <t>Red Signal</t>
  </si>
  <si>
    <t>978-93-48561-61-9</t>
  </si>
  <si>
    <t>Rendu Idly, Oru Vadai</t>
  </si>
  <si>
    <t>978-93-90102-93-8</t>
  </si>
  <si>
    <t>Rum Rummy Ramya</t>
  </si>
  <si>
    <t>978-93-5942-324-1</t>
  </si>
  <si>
    <t>Rummy and Joker</t>
  </si>
  <si>
    <t>978-93-5695-909-5</t>
  </si>
  <si>
    <t>Sathi Seivai Sahothara</t>
  </si>
  <si>
    <t>978-81-19478-90-3</t>
  </si>
  <si>
    <t>September, October, Christopher!</t>
  </si>
  <si>
    <t>978-93-5942-478-1</t>
  </si>
  <si>
    <t>Simla With Suseela</t>
  </si>
  <si>
    <t>978-81-981049-0-8</t>
  </si>
  <si>
    <t>Singapore Sathi</t>
  </si>
  <si>
    <t>978-81-19556-44-1</t>
  </si>
  <si>
    <t>Sithainthavan Varugai</t>
  </si>
  <si>
    <t>978-93-48970-22-0</t>
  </si>
  <si>
    <t>Solli Therivathillai!</t>
  </si>
  <si>
    <t>978-93-49330-65-8</t>
  </si>
  <si>
    <t>Sugamthaney Suseela?</t>
  </si>
  <si>
    <t>978-81-19478-89-7</t>
  </si>
  <si>
    <t>Susee, Take It Easy</t>
  </si>
  <si>
    <t>978-93-5695-908-8</t>
  </si>
  <si>
    <t>Suseelavukku Oru Salute</t>
  </si>
  <si>
    <t>978-81-19556-83-0</t>
  </si>
  <si>
    <t>Suttal, Thodarum...</t>
  </si>
  <si>
    <t>978-93-48561-43-5</t>
  </si>
  <si>
    <t>Suttuvidu Suseela</t>
  </si>
  <si>
    <t>978-81-19556-11-3</t>
  </si>
  <si>
    <t>'THAI' Manney Vanakkam</t>
  </si>
  <si>
    <t>978-93-5942-935-9</t>
  </si>
  <si>
    <t>Thappikka Thadaiyillai</t>
  </si>
  <si>
    <t>978-93-5695-896-8</t>
  </si>
  <si>
    <t>Thayangaathey Thappillai</t>
  </si>
  <si>
    <t>978-93-5942-839-0</t>
  </si>
  <si>
    <t>Theerpu Thedi Varum!</t>
  </si>
  <si>
    <t>978-93-95166-05-8</t>
  </si>
  <si>
    <t>Thirumbi Vaa! Theerpai Thaa!</t>
  </si>
  <si>
    <t>978-81-19478-86-6</t>
  </si>
  <si>
    <t>Thoda Mudiyatha Uyarangal</t>
  </si>
  <si>
    <t>978-93-48970-89-3</t>
  </si>
  <si>
    <t>Thodarkathai</t>
  </si>
  <si>
    <t>978-93-5942-754-6</t>
  </si>
  <si>
    <t>Thodarum...</t>
  </si>
  <si>
    <t>978-93-95166-06-5</t>
  </si>
  <si>
    <t>Thottal Thodarum</t>
  </si>
  <si>
    <t>978-93-95166-07-2</t>
  </si>
  <si>
    <t>Thottral Jaippai</t>
  </si>
  <si>
    <t>978-93-5942-883-3</t>
  </si>
  <si>
    <t>Thozha, Thotru Po!</t>
  </si>
  <si>
    <t>978-81-19478-99-6</t>
  </si>
  <si>
    <t>Thuduppillatha Padagugal</t>
  </si>
  <si>
    <t>978-81-19556-10-6</t>
  </si>
  <si>
    <t>Thuppakki Munaiyil</t>
  </si>
  <si>
    <t>978-81-19556-48-9</t>
  </si>
  <si>
    <t>Thuppakki Vidu Thoothu</t>
  </si>
  <si>
    <t>978-81-19556-18-2</t>
  </si>
  <si>
    <t>Tick... Tick... Lipstick!</t>
  </si>
  <si>
    <t>978-93-5942-956-4</t>
  </si>
  <si>
    <t>Un Kathai Muttrum</t>
  </si>
  <si>
    <t>978-81-19478-84-2</t>
  </si>
  <si>
    <t>Uthadugalum... ...Uthadugalum!</t>
  </si>
  <si>
    <t>978-93-5942-656-3</t>
  </si>
  <si>
    <t>Uyir Vilayattu</t>
  </si>
  <si>
    <t>978-81-19478-83-5</t>
  </si>
  <si>
    <t>Uyirai Kavarntha Uyire!</t>
  </si>
  <si>
    <t>978-81-981049-7-7</t>
  </si>
  <si>
    <t>Uyire Urugathey</t>
  </si>
  <si>
    <t>978-81-992627-2-0</t>
  </si>
  <si>
    <t>Uyirodu Uravadu</t>
  </si>
  <si>
    <t>978-81-19556-17-5</t>
  </si>
  <si>
    <t>Uyirodu Vendum…</t>
  </si>
  <si>
    <t>978-93-5942-349-4</t>
  </si>
  <si>
    <t>Vaa!</t>
  </si>
  <si>
    <t>978-93-49330-24-5</t>
  </si>
  <si>
    <t>Valiya Illai Bhoomiyil?</t>
  </si>
  <si>
    <t>978-81-981049-2-2</t>
  </si>
  <si>
    <t>Vanakkathudan Ezhuthi Kondrathu</t>
  </si>
  <si>
    <t>978-81-19556-21-2</t>
  </si>
  <si>
    <t>Varamaga Nee Varavendum</t>
  </si>
  <si>
    <t>978-93-49330-63-4</t>
  </si>
  <si>
    <t>Varum Varai Kaathiruppean</t>
  </si>
  <si>
    <t>978-81-19556-24-3</t>
  </si>
  <si>
    <t>Varuvean! Velvean!</t>
  </si>
  <si>
    <t>978-93-5942-137-7</t>
  </si>
  <si>
    <t>Velli Panimalaiyin Meethulaavi...</t>
  </si>
  <si>
    <t>978-93-48561-85-5</t>
  </si>
  <si>
    <t>Vendru Vaa Bharath</t>
  </si>
  <si>
    <t>978-81-19478-92-7</t>
  </si>
  <si>
    <t>Vetri Allathu Vetri</t>
  </si>
  <si>
    <t>978-81-19556-35-9</t>
  </si>
  <si>
    <t>Vetrik Kudhirai</t>
  </si>
  <si>
    <t>978-93-5942-802-4</t>
  </si>
  <si>
    <t>978-93-5942-933-5</t>
  </si>
  <si>
    <t>Vettu Kuthu... Kanne, Kaadhali!</t>
  </si>
  <si>
    <t>978-93-95166-09-6</t>
  </si>
  <si>
    <t>Vidumurai Vibareetham</t>
  </si>
  <si>
    <t>978-93-5942-867-3</t>
  </si>
  <si>
    <t>Vilaga Vilaga Vibareetham</t>
  </si>
  <si>
    <t>978-93-5942-703-4</t>
  </si>
  <si>
    <t>Vilayaga Nee Vendum</t>
  </si>
  <si>
    <t>978-81-989355-7-1</t>
  </si>
  <si>
    <t>Vithaithal Vilaiyum!</t>
  </si>
  <si>
    <t>978-93-5942-457-6</t>
  </si>
  <si>
    <t>Wellington Vibareetham</t>
  </si>
  <si>
    <t>978-81-988459-0-0</t>
  </si>
  <si>
    <t>Yerkanave Sonnapadi</t>
  </si>
  <si>
    <t>978-81-19478-97-2</t>
  </si>
  <si>
    <t>Yethirthu Vazhga</t>
  </si>
  <si>
    <t>978-93-5695-905-7</t>
  </si>
  <si>
    <t>Yudha Paruvam</t>
  </si>
  <si>
    <t>978-93-90102-87-7</t>
  </si>
  <si>
    <t>Indiya Samudhaya Varalatril Penmai</t>
  </si>
  <si>
    <t>Rajam Krishnan</t>
  </si>
  <si>
    <t>978-93-5695-485-4</t>
  </si>
  <si>
    <t>Karippu Manikal</t>
  </si>
  <si>
    <t>978-93-49330-83-2</t>
  </si>
  <si>
    <t>Kodugalum Kolangalum</t>
  </si>
  <si>
    <t>978-93-5695-486-1</t>
  </si>
  <si>
    <t>Agriculture</t>
  </si>
  <si>
    <t>Puthiya Siragukal</t>
  </si>
  <si>
    <t>978-93-49679-23-8</t>
  </si>
  <si>
    <t>Roja Ithazhgal</t>
  </si>
  <si>
    <t>978-81-989355-6-4</t>
  </si>
  <si>
    <t>Suzhalil Mithakkum Deebangal</t>
  </si>
  <si>
    <t>978-93-5695-264-5</t>
  </si>
  <si>
    <t>Utharakaandam</t>
  </si>
  <si>
    <t>978-93-5695-268-3</t>
  </si>
  <si>
    <t>Vanadeviyin Maindhargal</t>
  </si>
  <si>
    <t>978-93-5695-267-6</t>
  </si>
  <si>
    <t>Verukku Neer</t>
  </si>
  <si>
    <t>978-93-5695-265-2</t>
  </si>
  <si>
    <t>Avan Aval Theevu</t>
  </si>
  <si>
    <t>Rajendrakumar</t>
  </si>
  <si>
    <t>978-93-5942-565-8</t>
  </si>
  <si>
    <t>Konal Nizhalai Thurathi!</t>
  </si>
  <si>
    <t>978-93-5942-341-8</t>
  </si>
  <si>
    <t>Rayilil Vantha Mayil</t>
  </si>
  <si>
    <t>978-93-5942-452-1</t>
  </si>
  <si>
    <t>23 - vathu Jannal</t>
  </si>
  <si>
    <t>Rajeshkumar</t>
  </si>
  <si>
    <t>978-93-95416-84-9</t>
  </si>
  <si>
    <t>Abaayam! Thodu!</t>
  </si>
  <si>
    <t>978-93-95416-86-3</t>
  </si>
  <si>
    <t>Advance Anjali</t>
  </si>
  <si>
    <t>978-93-95416-87-0</t>
  </si>
  <si>
    <t>Ange... Inge... Enge...?</t>
  </si>
  <si>
    <t>978-93-95416-89-4</t>
  </si>
  <si>
    <t>Anu Oru Aacharyam!</t>
  </si>
  <si>
    <t>978-93-95416-82-5</t>
  </si>
  <si>
    <t>Appuram... Anitha!</t>
  </si>
  <si>
    <t>978-93-95598-53-8</t>
  </si>
  <si>
    <t>Ezhavathu Arivu</t>
  </si>
  <si>
    <t>978-93-95416-81-8</t>
  </si>
  <si>
    <t>Aabathu Ingey Aarambam</t>
  </si>
  <si>
    <t>978-93-95416-80-1</t>
  </si>
  <si>
    <t>Kadaisi Yethiri</t>
  </si>
  <si>
    <t>978-93-95166-14-0</t>
  </si>
  <si>
    <t>Vivekin Viswaroopam</t>
  </si>
  <si>
    <t>978-93-95416-83-2</t>
  </si>
  <si>
    <t>A For Apple M For Murder</t>
  </si>
  <si>
    <t>978-93-95416-85-6</t>
  </si>
  <si>
    <t>Maha sathi</t>
  </si>
  <si>
    <t>978-93-95166-17-1</t>
  </si>
  <si>
    <t>Bombaykku Pathavathu Mileil...</t>
  </si>
  <si>
    <t>978-93-95598-54-5</t>
  </si>
  <si>
    <t>Aadhi Sankararin Aanma Bodham</t>
  </si>
  <si>
    <t>S. Raman</t>
  </si>
  <si>
    <t>978-93-95001-69-4</t>
  </si>
  <si>
    <t>Ariyum Arive Arivu</t>
  </si>
  <si>
    <t>978-93-95001-41-0</t>
  </si>
  <si>
    <t>Enathu Kadithaigal</t>
  </si>
  <si>
    <t>978-93-95001-61-8</t>
  </si>
  <si>
    <t>Bhoomikku Kidaitha Puthayal</t>
  </si>
  <si>
    <t>Saptharishi La.Sa.Ra.</t>
  </si>
  <si>
    <t>978-93-5942-381-4</t>
  </si>
  <si>
    <t>Paarkadal 2.0</t>
  </si>
  <si>
    <t>978-93-5942-866-6</t>
  </si>
  <si>
    <t>Thirai Vimarsanam Oru Kalai!</t>
  </si>
  <si>
    <t>978-93-5942-269-5</t>
  </si>
  <si>
    <t>Washingtonil Thirumanam</t>
  </si>
  <si>
    <t>Savi</t>
  </si>
  <si>
    <t>978-93-5695-609-4</t>
  </si>
  <si>
    <t>Character</t>
  </si>
  <si>
    <t>978-81-991860-2-6</t>
  </si>
  <si>
    <t>Komaganin Kaadhal</t>
  </si>
  <si>
    <t>978-93-48138-47-7</t>
  </si>
  <si>
    <t>Mouna Pillaiyar</t>
  </si>
  <si>
    <t>978-93-5695-610-0</t>
  </si>
  <si>
    <t>Pazhaya Kanakku</t>
  </si>
  <si>
    <t>978-93-5695-621-6</t>
  </si>
  <si>
    <t>Theppo 76</t>
  </si>
  <si>
    <t>978-81-992627-1-3</t>
  </si>
  <si>
    <t>Vadam Pidikka Vaanga Jappanukku</t>
  </si>
  <si>
    <t>978-93-5695-623-0</t>
  </si>
  <si>
    <t>Visiri Vaazhai</t>
  </si>
  <si>
    <t>978-93-5695-622-3</t>
  </si>
  <si>
    <t>47 Natkal</t>
  </si>
  <si>
    <t>Sivasankari</t>
  </si>
  <si>
    <t>978-93-48561-63-3</t>
  </si>
  <si>
    <t>Aairam Kaalathu Payir</t>
  </si>
  <si>
    <t>978-93-5695-678-0</t>
  </si>
  <si>
    <t>Adimaadugal</t>
  </si>
  <si>
    <t>978-93-48561-80-0</t>
  </si>
  <si>
    <t>Amma</t>
  </si>
  <si>
    <t>978-93-48561-18-3</t>
  </si>
  <si>
    <t>Amma Sonna Kathaigal</t>
  </si>
  <si>
    <t>978-93-48561-25-1</t>
  </si>
  <si>
    <t>Andhamma Romba Nallavanga</t>
  </si>
  <si>
    <t>978-93-48561-90-9</t>
  </si>
  <si>
    <t>Appodhum Ippodhum</t>
  </si>
  <si>
    <t>978-93-48561-49-7</t>
  </si>
  <si>
    <t>Avan</t>
  </si>
  <si>
    <t>978-93-5695-665-0</t>
  </si>
  <si>
    <t>Bharatha Dharisanam India Payanakathai</t>
  </si>
  <si>
    <t>978-81-19478-61-3</t>
  </si>
  <si>
    <t>Cambodia, Vietnam Oru Kazhuguparvai</t>
  </si>
  <si>
    <t>978-93-5695-661-2</t>
  </si>
  <si>
    <t>Chinna Noolkanda Nammaich Siraippaduthuvathu?</t>
  </si>
  <si>
    <t>978-93-5695-671-1</t>
  </si>
  <si>
    <t>Deivam Nindru Kollum</t>
  </si>
  <si>
    <t>978-93-5942-329-6</t>
  </si>
  <si>
    <t>Deliverance</t>
  </si>
  <si>
    <t>978-93-94922-31-0</t>
  </si>
  <si>
    <t>En Chellangal</t>
  </si>
  <si>
    <t>978-93-48561-47-3</t>
  </si>
  <si>
    <t>En Kannottathil...</t>
  </si>
  <si>
    <t>978-93-48561-69-5</t>
  </si>
  <si>
    <t>Etharkkaga?</t>
  </si>
  <si>
    <t>978-93-48561-97-8</t>
  </si>
  <si>
    <t>FBI</t>
  </si>
  <si>
    <t>978-93-48561-06-0</t>
  </si>
  <si>
    <t>Fungus</t>
  </si>
  <si>
    <t>978-93-94922-37-2</t>
  </si>
  <si>
    <t>Gods Wait To Punish</t>
  </si>
  <si>
    <t>978-93-94922-38-9</t>
  </si>
  <si>
    <t>Indiravin Kathai</t>
  </si>
  <si>
    <t>978-93-48561-36-7</t>
  </si>
  <si>
    <t>Ini Thodarathu</t>
  </si>
  <si>
    <t>978-93-48561-79-4</t>
  </si>
  <si>
    <t>Ini...</t>
  </si>
  <si>
    <t>978-81-19478-65-1</t>
  </si>
  <si>
    <t>Innoru Karanam</t>
  </si>
  <si>
    <t>978-93-48561-72-5</t>
  </si>
  <si>
    <t>Innoruthi + Innoruthi</t>
  </si>
  <si>
    <t>978-93-48561-45-9</t>
  </si>
  <si>
    <t>Ithuvum Tajmahal Than</t>
  </si>
  <si>
    <t>978-93-48561-73-2</t>
  </si>
  <si>
    <t>Kaaranangal</t>
  </si>
  <si>
    <t>978-93-48561-67-1</t>
  </si>
  <si>
    <t>Kaathirukkirean!</t>
  </si>
  <si>
    <t>978-93-48561-11-4</t>
  </si>
  <si>
    <t>Kadaisiyil</t>
  </si>
  <si>
    <t>978-93-48561-19-0</t>
  </si>
  <si>
    <t>Kan Ketta Pin</t>
  </si>
  <si>
    <t>978-93-48561-09-1</t>
  </si>
  <si>
    <t>Kappal Paravai</t>
  </si>
  <si>
    <t>978-81-19556-76-2</t>
  </si>
  <si>
    <t>Karunai Kolai</t>
  </si>
  <si>
    <t>978-93-48561-03-9</t>
  </si>
  <si>
    <t>Kinatru Thavalaigal</t>
  </si>
  <si>
    <t>978-81-19478-57-6</t>
  </si>
  <si>
    <t>Konjam Yosikkalame...</t>
  </si>
  <si>
    <t>978-93-48561-94-7</t>
  </si>
  <si>
    <t>Kutty</t>
  </si>
  <si>
    <t>978-93-48561-74-9</t>
  </si>
  <si>
    <t>Kuzhappangal</t>
  </si>
  <si>
    <t>978-93-48561-02-2</t>
  </si>
  <si>
    <t>Maalayil Pookkum Malargal</t>
  </si>
  <si>
    <t>978-93-48561-84-8</t>
  </si>
  <si>
    <t>Mella Mella...</t>
  </si>
  <si>
    <t>978-81-19556-75-5</t>
  </si>
  <si>
    <t>Mookkanaangayiru</t>
  </si>
  <si>
    <t>978-81-19556-55-7</t>
  </si>
  <si>
    <t>Mudhal Konal</t>
  </si>
  <si>
    <t>978-93-48561-78-7</t>
  </si>
  <si>
    <t>Naan Naanaga...</t>
  </si>
  <si>
    <t>978-93-5695-675-9</t>
  </si>
  <si>
    <t>Nathiyin Vegathodu…</t>
  </si>
  <si>
    <t>978-93-48561-31-2</t>
  </si>
  <si>
    <t>Oru Manithanin Kathai</t>
  </si>
  <si>
    <t>978-93-48561-33-6</t>
  </si>
  <si>
    <t>Oru Pahal Oru Iravu</t>
  </si>
  <si>
    <t>978-93-5695-667-4</t>
  </si>
  <si>
    <t>Oru Singam Muyalagirathu</t>
  </si>
  <si>
    <t>978-81-19478-67-5</t>
  </si>
  <si>
    <t>Ottrai Paravai</t>
  </si>
  <si>
    <t>978-93-48561-75-6</t>
  </si>
  <si>
    <t>Overdose</t>
  </si>
  <si>
    <t>978-93-48561-32-9</t>
  </si>
  <si>
    <t>Paalangal</t>
  </si>
  <si>
    <t>978-93-5695-682-7</t>
  </si>
  <si>
    <t>Paalangal - Classic Edition</t>
  </si>
  <si>
    <t>Paarvai</t>
  </si>
  <si>
    <t>978-93-48561-20-6</t>
  </si>
  <si>
    <t>Pachonthigal</t>
  </si>
  <si>
    <t>978-93-48561-38-1</t>
  </si>
  <si>
    <t>Payirai Meyum Veligal</t>
  </si>
  <si>
    <t>978-93-48561-92-3</t>
  </si>
  <si>
    <t>Poi</t>
  </si>
  <si>
    <t>978-93-48561-44-2</t>
  </si>
  <si>
    <t>Puthuputhu Anubavangal Part-1</t>
  </si>
  <si>
    <t>978-81-19478-63-7</t>
  </si>
  <si>
    <t>Puthuputhu Anubavangal Part-2</t>
  </si>
  <si>
    <t>978-81-19478-59-0</t>
  </si>
  <si>
    <t>Puthuputhu Anubavangal Part-3</t>
  </si>
  <si>
    <t>978-81-19478-72-9</t>
  </si>
  <si>
    <t>Puthuputhu Anubavangal Part-4</t>
  </si>
  <si>
    <t>978-81-19478-78-1</t>
  </si>
  <si>
    <t>Shantha Yen Azhugiral?</t>
  </si>
  <si>
    <t>978-93-48561-13-8</t>
  </si>
  <si>
    <t>Sivasankari Sirukathaigal Irandam Thoguppu</t>
  </si>
  <si>
    <t>978-93-48138-64-4</t>
  </si>
  <si>
    <t>Sivasankari Sirukathaigal Moondram Thoguppu</t>
  </si>
  <si>
    <t>978-93-48138-92-7</t>
  </si>
  <si>
    <t>Sivasankari Sirukathaigal Mudhal Thoguppu</t>
  </si>
  <si>
    <t>978-93-48138-83-5</t>
  </si>
  <si>
    <t>Sivasankari Sirukathaigal Naankaam Thoguppu</t>
  </si>
  <si>
    <t>978-93-48138-06-4</t>
  </si>
  <si>
    <t>Sura Meengal</t>
  </si>
  <si>
    <t>978-93-48561-56-5</t>
  </si>
  <si>
    <t>Suriya Vamsam - Part 1</t>
  </si>
  <si>
    <t>978-93-48138-78-1</t>
  </si>
  <si>
    <t>Suriya Vamsam - Part 2</t>
  </si>
  <si>
    <t>978-93-48138-99-6</t>
  </si>
  <si>
    <t>Thaan Than Sugam</t>
  </si>
  <si>
    <t>978-93-48561-37-4</t>
  </si>
  <si>
    <t>Thagappan Sami</t>
  </si>
  <si>
    <t>978-93-48561-57-2</t>
  </si>
  <si>
    <t>Thappukkanakku</t>
  </si>
  <si>
    <t>978-81-19556-56-4</t>
  </si>
  <si>
    <t>Thavam</t>
  </si>
  <si>
    <t>978-93-48561-59-6</t>
  </si>
  <si>
    <t>Theervu</t>
  </si>
  <si>
    <t>978-93-48561-24-4</t>
  </si>
  <si>
    <t>Thirisangu Sorgam</t>
  </si>
  <si>
    <t>978-93-48561-82-4</t>
  </si>
  <si>
    <t>Thulla Mudiyatha Pulliman</t>
  </si>
  <si>
    <t>978-93-48561-15-2</t>
  </si>
  <si>
    <t>Tyagu</t>
  </si>
  <si>
    <t>978-93-94922-62-4</t>
  </si>
  <si>
    <t>Uratha Sindhanai</t>
  </si>
  <si>
    <t>978-93-48561-95-4</t>
  </si>
  <si>
    <t>Vaanathu Nila</t>
  </si>
  <si>
    <t>978-93-48561-58-9</t>
  </si>
  <si>
    <t>Valartha Kada</t>
  </si>
  <si>
    <t>978-93-48561-60-2</t>
  </si>
  <si>
    <t>Verillatha Marangal</t>
  </si>
  <si>
    <t>978-93-48561-35-0</t>
  </si>
  <si>
    <t>Vetkam Kettavargal</t>
  </si>
  <si>
    <t>978-93-48561-27-5</t>
  </si>
  <si>
    <t>Vilai</t>
  </si>
  <si>
    <t>978-93-48561-89-3</t>
  </si>
  <si>
    <t>Vimochanam</t>
  </si>
  <si>
    <t>978-81-19478-74-3</t>
  </si>
  <si>
    <t>Why Can't They?</t>
  </si>
  <si>
    <t>978-93-94922-63-1</t>
  </si>
  <si>
    <t>Yen?</t>
  </si>
  <si>
    <t>978-81-19478-56-9</t>
  </si>
  <si>
    <t>Yerikkadiyil Sila Kanavugal</t>
  </si>
  <si>
    <t>978-93-48561-88-6</t>
  </si>
  <si>
    <t>Nooleni</t>
  </si>
  <si>
    <t>978-93-5695-681-0</t>
  </si>
  <si>
    <t>Avargalukku Puriyadhu</t>
  </si>
  <si>
    <t>978-81-19478-66-8</t>
  </si>
  <si>
    <t>Suttamann</t>
  </si>
  <si>
    <t>978-93-48561-29-9</t>
  </si>
  <si>
    <t>Nandu</t>
  </si>
  <si>
    <t>978-93-5942-660-0</t>
  </si>
  <si>
    <t>Rusi Kanda Poonai</t>
  </si>
  <si>
    <t>978-93-5695-666-7</t>
  </si>
  <si>
    <t>Kaalaan</t>
  </si>
  <si>
    <t>978-81-19478-58-3</t>
  </si>
  <si>
    <t>Pogappoga</t>
  </si>
  <si>
    <t>978-93-5695-677-3</t>
  </si>
  <si>
    <t>Adimai Rajyam</t>
  </si>
  <si>
    <t>Subha</t>
  </si>
  <si>
    <t>978-93-95166-46-1</t>
  </si>
  <si>
    <t>Devathai Vettai</t>
  </si>
  <si>
    <t>978-93-95166-47-8</t>
  </si>
  <si>
    <t>Subhavin Sirukathaigal - Part 2</t>
  </si>
  <si>
    <t>978-93-95166-50-8</t>
  </si>
  <si>
    <t>Subhavin Sirukathaigal - Part 3</t>
  </si>
  <si>
    <t>978-93-95166-51-5</t>
  </si>
  <si>
    <t>Alaiyathikaadu</t>
  </si>
  <si>
    <t>Tamilselvan Ratna Pandian</t>
  </si>
  <si>
    <t>978-81-19166-02-2</t>
  </si>
  <si>
    <t>Kaadhal Bothai</t>
  </si>
  <si>
    <t>978-93-5695-846-3</t>
  </si>
  <si>
    <t>Karuppatti</t>
  </si>
  <si>
    <t>978-81-19166-01-5</t>
  </si>
  <si>
    <t>Maathini</t>
  </si>
  <si>
    <t>978-93-5695-845-6</t>
  </si>
  <si>
    <t>Mugam</t>
  </si>
  <si>
    <t>978-93-5942-149-0</t>
  </si>
  <si>
    <t>Olirum Thiramaigal</t>
  </si>
  <si>
    <t>978-93-5942-869-7</t>
  </si>
  <si>
    <t>Motivational Stories</t>
  </si>
  <si>
    <t>Oru Mazhainaal Pagalil</t>
  </si>
  <si>
    <t>978-93-5695-847-0</t>
  </si>
  <si>
    <t>Oru Pakka Iru Pakka Kurunkathaigal</t>
  </si>
  <si>
    <t>978-81-19166-09-1</t>
  </si>
  <si>
    <t>Oru Thai Uruvaagiral</t>
  </si>
  <si>
    <t>978-81-19166-08-4</t>
  </si>
  <si>
    <t>T.R.vin Thernthedukkappatta Sirukathaigal</t>
  </si>
  <si>
    <t>978-81-19478-37-8</t>
  </si>
  <si>
    <t>Tamilselvanin Thennaga Payana Katturaigal</t>
  </si>
  <si>
    <t>978-93-5942-516-0</t>
  </si>
  <si>
    <t>Thanda Soru</t>
  </si>
  <si>
    <t>978-93-5695-844-9</t>
  </si>
  <si>
    <t>Vaasamillaa Paasam</t>
  </si>
  <si>
    <t>978-81-19166-04-6</t>
  </si>
  <si>
    <t>Veduk Veduk Vekulamba</t>
  </si>
  <si>
    <t>978-81-19166-12-1</t>
  </si>
  <si>
    <t>Gnabagam Poo Mazhai Thoovum</t>
  </si>
  <si>
    <t>Uma Balakumar</t>
  </si>
  <si>
    <t>978-81-19556-58-8</t>
  </si>
  <si>
    <t>Idhayam Theetiya Oviyame!</t>
  </si>
  <si>
    <t>978-93-5695-663-6</t>
  </si>
  <si>
    <t>Imaiyaga Naaniruppen...!</t>
  </si>
  <si>
    <t>978-93-5695-281-2</t>
  </si>
  <si>
    <t>Mazhai Tharumo En Megam…!</t>
  </si>
  <si>
    <t>978-93-5695-289-8</t>
  </si>
  <si>
    <t>Nee Vendum Ennarukil!</t>
  </si>
  <si>
    <t>978-93-5695-645-2</t>
  </si>
  <si>
    <t>Sagiyendru Saranadainthen</t>
  </si>
  <si>
    <t>978-93-5695-280-5</t>
  </si>
  <si>
    <t>Sathuragiri Arulmigu Sundaramahalingam</t>
  </si>
  <si>
    <t>978-93-5942-431-6</t>
  </si>
  <si>
    <t>Unakkena Thavamirunthen</t>
  </si>
  <si>
    <t>978-93-5695-662-9</t>
  </si>
  <si>
    <t>Uyiril Kalantha Geetham!</t>
  </si>
  <si>
    <t>978-93-5695-287-4</t>
  </si>
  <si>
    <t>Vannam Konda Pennilave!</t>
  </si>
  <si>
    <t>978-93-5695-282-9</t>
  </si>
  <si>
    <t>Verena Neeirunthai!</t>
  </si>
  <si>
    <t>978-81-19556-59-5</t>
  </si>
  <si>
    <t>Aakasa Veedugal</t>
  </si>
  <si>
    <t>Vaasanthi</t>
  </si>
  <si>
    <t>978-93-95598-38-5</t>
  </si>
  <si>
    <t>Aarthikku Mugam Sivanthathu</t>
  </si>
  <si>
    <t>978-93-95686-19-8</t>
  </si>
  <si>
    <t>Ammani</t>
  </si>
  <si>
    <t>978-93-95643-95-5</t>
  </si>
  <si>
    <t>Andhi Nerathu Udhayangal</t>
  </si>
  <si>
    <t>978-93-95441-99-5</t>
  </si>
  <si>
    <t>Jaipur Necklace</t>
  </si>
  <si>
    <t>978-93-94505-28-5</t>
  </si>
  <si>
    <t>Jananam</t>
  </si>
  <si>
    <t>978-93-95277-76-1</t>
  </si>
  <si>
    <t>Kaadhalenum Vaanavil</t>
  </si>
  <si>
    <t>978-93-95277-78-5</t>
  </si>
  <si>
    <t>Kadai Bommaigal</t>
  </si>
  <si>
    <t>978-93-95598-40-8</t>
  </si>
  <si>
    <t>Kathavillatha Veedu</t>
  </si>
  <si>
    <t>978-93-95598-39-2</t>
  </si>
  <si>
    <t>Kizhakkey Oru Ulagam</t>
  </si>
  <si>
    <t>978-93-95598-35-4</t>
  </si>
  <si>
    <t>Manithargal Paathi Neram Thoongukirargal</t>
  </si>
  <si>
    <t>978-93-95598-42-2</t>
  </si>
  <si>
    <t>Meetchi</t>
  </si>
  <si>
    <t>978-93-95598-33-0</t>
  </si>
  <si>
    <t>Moongil Pookkal</t>
  </si>
  <si>
    <t>978-93-95416-56-6</t>
  </si>
  <si>
    <t>Mouna Puyal</t>
  </si>
  <si>
    <t>978-93-5695-085-6</t>
  </si>
  <si>
    <t>Nagarangal Manithargal Panpaadugal</t>
  </si>
  <si>
    <t>978-93-95416-54-2</t>
  </si>
  <si>
    <t>Nazhuvum Nerangal</t>
  </si>
  <si>
    <t>978-93-95441-98-8</t>
  </si>
  <si>
    <t>Nijangal</t>
  </si>
  <si>
    <t>978-93-5695-089-4</t>
  </si>
  <si>
    <t>Nijangal Nizhalahumpothu…</t>
  </si>
  <si>
    <t>978-93-5695-505-9</t>
  </si>
  <si>
    <t>Nirkka Nizhal Vendum</t>
  </si>
  <si>
    <t>978-93-95686-83-9</t>
  </si>
  <si>
    <t>Nizhalgal</t>
  </si>
  <si>
    <t>978-93-5695-100-6</t>
  </si>
  <si>
    <t>Paravaigal Parakkindrana</t>
  </si>
  <si>
    <t>978-93-5942-470-5</t>
  </si>
  <si>
    <t>Pathaiyorathu Pookkal</t>
  </si>
  <si>
    <t>978-93-95598-34-7</t>
  </si>
  <si>
    <t>Plum Marangal Poothuvittana</t>
  </si>
  <si>
    <t>978-93-95416-57-3</t>
  </si>
  <si>
    <t>Poiyil Pootha Nijam</t>
  </si>
  <si>
    <t>978-93-94922-72-3</t>
  </si>
  <si>
    <t>Puriyatha Arthangal</t>
  </si>
  <si>
    <t>978-93-95277-74-7</t>
  </si>
  <si>
    <t>Puthiya Vaanam</t>
  </si>
  <si>
    <t>978-93-95248-48-8</t>
  </si>
  <si>
    <t>Sandhiya</t>
  </si>
  <si>
    <t>978-93-95248-51-8</t>
  </si>
  <si>
    <t>Santhanakaadugal</t>
  </si>
  <si>
    <t>978-93-95416-51-1</t>
  </si>
  <si>
    <t>Shurthi Bethangal</t>
  </si>
  <si>
    <t>978-93-5695-086-3</t>
  </si>
  <si>
    <t>Sirai!</t>
  </si>
  <si>
    <t>978-93-95598-32-3</t>
  </si>
  <si>
    <t>Thaagam</t>
  </si>
  <si>
    <t>978-93-95277-79-2</t>
  </si>
  <si>
    <t>Tharaiyellam Shenbaga Poo</t>
  </si>
  <si>
    <t>978-93-94505-31-5</t>
  </si>
  <si>
    <t>Theekkul Viralai Vaithal</t>
  </si>
  <si>
    <t>978-93-95441-97-1</t>
  </si>
  <si>
    <t>Thirakkatha Jannalgal</t>
  </si>
  <si>
    <t>978-93-5695-087-0</t>
  </si>
  <si>
    <t>Thunaivi</t>
  </si>
  <si>
    <t>978-93-95598-36-1</t>
  </si>
  <si>
    <t>Thurathum Ninaivugal Azhaikkum Kanavugal</t>
  </si>
  <si>
    <t>978-93-95686-80-8</t>
  </si>
  <si>
    <t>Vaakkumoolam</t>
  </si>
  <si>
    <t>978-93-95277-81-5</t>
  </si>
  <si>
    <t>Valliname Melliname</t>
  </si>
  <si>
    <t>978-93-95416-60-3</t>
  </si>
  <si>
    <t>Veli</t>
  </si>
  <si>
    <t>978-93-95416-52-8</t>
  </si>
  <si>
    <t>Ver Pidikkum Mann</t>
  </si>
  <si>
    <t>978-93-95416-58-0</t>
  </si>
  <si>
    <t>Vergalai Thedi….</t>
  </si>
  <si>
    <t>978-93-95598-37-8</t>
  </si>
  <si>
    <t>Vittu Viduthalaiyagi…</t>
  </si>
  <si>
    <t>978-93-95416-59-7</t>
  </si>
  <si>
    <t>Yuga Sandhi</t>
  </si>
  <si>
    <t>978-93-94922-56-3</t>
  </si>
  <si>
    <t>Aagasa Garudan</t>
  </si>
  <si>
    <t>Vidya Subramaniam</t>
  </si>
  <si>
    <t>978-93-94505-59-9</t>
  </si>
  <si>
    <t>Aagasa Thoothu</t>
  </si>
  <si>
    <t>978-81-987589-4-1</t>
  </si>
  <si>
    <t>Aagayam Arugil Varum</t>
  </si>
  <si>
    <t>978-93-94505-94-0</t>
  </si>
  <si>
    <t>Aahaya Malargal</t>
  </si>
  <si>
    <t>978-93-95598-07-1</t>
  </si>
  <si>
    <t>Aasai Alaigal</t>
  </si>
  <si>
    <t>978-93-94833-54-8</t>
  </si>
  <si>
    <t>Aasai Mugam Maranthayo?</t>
  </si>
  <si>
    <t>978-93-94505-10-0</t>
  </si>
  <si>
    <t>Agni Puthri</t>
  </si>
  <si>
    <t>978-93-95248-89-1</t>
  </si>
  <si>
    <t>Agni Siragugal</t>
  </si>
  <si>
    <t>978-93-94833-62-3</t>
  </si>
  <si>
    <t>Amma Pillai</t>
  </si>
  <si>
    <t>978-93-95441-78-0</t>
  </si>
  <si>
    <t>Ammavukku Oru Veedu</t>
  </si>
  <si>
    <t>978-93-94833-57-9</t>
  </si>
  <si>
    <t>Anbukku Panjamillai</t>
  </si>
  <si>
    <t>978-93-5695-296-6</t>
  </si>
  <si>
    <t>Androru Naal</t>
  </si>
  <si>
    <t>978-93-95441-86-5</t>
  </si>
  <si>
    <t>Appa Pillai</t>
  </si>
  <si>
    <t>978-93-95441-76-6</t>
  </si>
  <si>
    <t>Atchaya Paathiram</t>
  </si>
  <si>
    <t>978-93-94833-61-6</t>
  </si>
  <si>
    <t>Aval Mugam Kaana</t>
  </si>
  <si>
    <t>978-93-95248-88-4</t>
  </si>
  <si>
    <t>Concrete Manasugal</t>
  </si>
  <si>
    <t>978-93-95301-79-4</t>
  </si>
  <si>
    <t>En Su(vaasa) Malare...</t>
  </si>
  <si>
    <t>978-81-19166-56-5</t>
  </si>
  <si>
    <t>Ennuyir Thozhi</t>
  </si>
  <si>
    <t>978-93-5695-398-7</t>
  </si>
  <si>
    <t>Ennuyire...</t>
  </si>
  <si>
    <t>978-93-95441-88-9</t>
  </si>
  <si>
    <t>Gopura Kalasangal</t>
  </si>
  <si>
    <t>978-93-94505-07-0</t>
  </si>
  <si>
    <t>Inba Kaatru Veesattum...</t>
  </si>
  <si>
    <t>978-93-95686-07-5</t>
  </si>
  <si>
    <t>Indru Muthal Aanantham...</t>
  </si>
  <si>
    <t>978-93-94505-19-3</t>
  </si>
  <si>
    <t>Innoru Kaadhal Kathai</t>
  </si>
  <si>
    <t>978-93-94833-46-3</t>
  </si>
  <si>
    <t>Kaadhal Solla Vandhean…</t>
  </si>
  <si>
    <t>978-93-48970-69-5</t>
  </si>
  <si>
    <t>Kanave Kalaiyadhe!</t>
  </si>
  <si>
    <t>978-93-94833-04-3</t>
  </si>
  <si>
    <t>Kanneerum Aanandham</t>
  </si>
  <si>
    <t>978-81-979514-6-6</t>
  </si>
  <si>
    <t>Kanniley Anbirunthal</t>
  </si>
  <si>
    <t>978-93-5695-614-8</t>
  </si>
  <si>
    <t>Kathavu Thiranthathu</t>
  </si>
  <si>
    <t>978-93-94833-12-8</t>
  </si>
  <si>
    <t>Kundrena Nimirnthu...</t>
  </si>
  <si>
    <t>978-93-5695-628-5</t>
  </si>
  <si>
    <t>Moondru Mudichu</t>
  </si>
  <si>
    <t>978-93-95643-47-4</t>
  </si>
  <si>
    <t>Mudhal Mazhai</t>
  </si>
  <si>
    <t>978-93-95598-99-6</t>
  </si>
  <si>
    <t>Neeravar Kenmai</t>
  </si>
  <si>
    <t>978-93-5942-416-3</t>
  </si>
  <si>
    <t>Oomathai Pookkal</t>
  </si>
  <si>
    <t>978-93-95441-84-1</t>
  </si>
  <si>
    <t>Parasuraman</t>
  </si>
  <si>
    <t>978-93-95441-93-3</t>
  </si>
  <si>
    <t>Ponnai Virumbum Boomiyile...</t>
  </si>
  <si>
    <t>978-93-94505-27-8</t>
  </si>
  <si>
    <t>Poo Magal</t>
  </si>
  <si>
    <t>978-81-19478-05-7</t>
  </si>
  <si>
    <t>Radha Madhavam</t>
  </si>
  <si>
    <t>978-93-5695-612-4</t>
  </si>
  <si>
    <t>Saayatha Bommaigal</t>
  </si>
  <si>
    <t>978-93-94833-44-9</t>
  </si>
  <si>
    <t>Samharam</t>
  </si>
  <si>
    <t>978-93-5942-243-5</t>
  </si>
  <si>
    <t>Santhana Malargal</t>
  </si>
  <si>
    <t>978-93-5942-874-1</t>
  </si>
  <si>
    <t>Saraswadhi Nathi</t>
  </si>
  <si>
    <t>978-93-5942-175-9</t>
  </si>
  <si>
    <t>Savithriyin Kathapaathiram</t>
  </si>
  <si>
    <t>978-93-5695-298-0</t>
  </si>
  <si>
    <t xml:space="preserve">Sembulapeyal Neer </t>
  </si>
  <si>
    <t>978-93-94505-43-8</t>
  </si>
  <si>
    <t>Suriyagrahanam</t>
  </si>
  <si>
    <t>978-93-5695-097-9</t>
  </si>
  <si>
    <t>Suzhal</t>
  </si>
  <si>
    <t>978-93-94505-99-5</t>
  </si>
  <si>
    <t>Thandanai</t>
  </si>
  <si>
    <t>978-81-19166-63-3</t>
  </si>
  <si>
    <t>Thavamirunthean! Varam Tharuvai…</t>
  </si>
  <si>
    <t>978-93-49330-18-4</t>
  </si>
  <si>
    <t>Thayumanavan</t>
  </si>
  <si>
    <t>978-93-5695-625-4</t>
  </si>
  <si>
    <t>Thodaamal Naan Malarvean</t>
  </si>
  <si>
    <t>978-93-94833-73-9</t>
  </si>
  <si>
    <t>Triveni Sangamam</t>
  </si>
  <si>
    <t>978-93-95643-50-4</t>
  </si>
  <si>
    <t>Ullathil Nalla Ullam</t>
  </si>
  <si>
    <t>978-93-94505-91-9</t>
  </si>
  <si>
    <t>Unakkena Manakoyil</t>
  </si>
  <si>
    <t>978-93-95166-93-5</t>
  </si>
  <si>
    <t>Uyirin Uyire</t>
  </si>
  <si>
    <t>978-93-94505-78-0</t>
  </si>
  <si>
    <t>Uyirkoodu</t>
  </si>
  <si>
    <t>978-93-94505-51-3</t>
  </si>
  <si>
    <t>Vaishali</t>
  </si>
  <si>
    <t>978-93-94833-63-0</t>
  </si>
  <si>
    <t>Vanathil Oru Maan</t>
  </si>
  <si>
    <t>978-93-94505-35-3</t>
  </si>
  <si>
    <t>Vandhal, Sendral, Vendral...</t>
  </si>
  <si>
    <t>978-93-94833-71-5</t>
  </si>
  <si>
    <t xml:space="preserve">Anjali, Ennai Kaadhali </t>
  </si>
  <si>
    <t>Vimala Ramani</t>
  </si>
  <si>
    <t>978-93-5695-629-2</t>
  </si>
  <si>
    <t>Brindavana Parijatham</t>
  </si>
  <si>
    <t>978-93-95166-70-6</t>
  </si>
  <si>
    <t>Cherry Pookkal Pookkum</t>
  </si>
  <si>
    <t>978-93-95166-71-3</t>
  </si>
  <si>
    <t>Inikkum Inba Irave Nee vaa!</t>
  </si>
  <si>
    <t>978-93-5695-586-8</t>
  </si>
  <si>
    <t xml:space="preserve">Kaadhal Thoranangal Katti </t>
  </si>
  <si>
    <t>978-93-5695-617-9</t>
  </si>
  <si>
    <t xml:space="preserve">Kannalaney </t>
  </si>
  <si>
    <t>978-93-5695-616-2</t>
  </si>
  <si>
    <t>Kannil Theriyothoru Thotram</t>
  </si>
  <si>
    <t>978-93-95166-74-4</t>
  </si>
  <si>
    <t>Mella Veesum Vasanthangal</t>
  </si>
  <si>
    <t>978-93-5695-603-2</t>
  </si>
  <si>
    <t xml:space="preserve">Poovarasam Pookkal </t>
  </si>
  <si>
    <t>978-93-5695-601-8</t>
  </si>
  <si>
    <t>Sarvam Brumma Mayam</t>
  </si>
  <si>
    <t>978-93-5695-015-3</t>
  </si>
  <si>
    <t>Uravukku Appaal</t>
  </si>
  <si>
    <t>978-93-5695-577-6</t>
  </si>
  <si>
    <t>Vimala Ramaniyin Sirukathaigal</t>
  </si>
  <si>
    <t>978-93-95166-91-1</t>
  </si>
  <si>
    <t>Anbu Vellam</t>
  </si>
  <si>
    <t>W.R. Vasanthan</t>
  </si>
  <si>
    <t>978-93-5695-729-9</t>
  </si>
  <si>
    <t>Appaavi Varikuthirai</t>
  </si>
  <si>
    <t>978-81-19257-42-3</t>
  </si>
  <si>
    <t>Arumai Thambi</t>
  </si>
  <si>
    <t>978-93-5942-264-0</t>
  </si>
  <si>
    <t>Dhruva Natchathiram</t>
  </si>
  <si>
    <t>978-93-5695-728-2</t>
  </si>
  <si>
    <t>Iniya Idhayam</t>
  </si>
  <si>
    <t>978-93-5942-965-6</t>
  </si>
  <si>
    <t>Jameen Kottai</t>
  </si>
  <si>
    <t>978-81-19257-31-7</t>
  </si>
  <si>
    <t>Kadamai Nenjam</t>
  </si>
  <si>
    <t>978-93-49679-57-3</t>
  </si>
  <si>
    <t>Kathai Chakravarthi Kalki</t>
  </si>
  <si>
    <t>978-93-5942-677-8</t>
  </si>
  <si>
    <t>Koondu Paravai</t>
  </si>
  <si>
    <t>978-93-5942-140-7</t>
  </si>
  <si>
    <t>Malaikkottai Marmam</t>
  </si>
  <si>
    <t>978-93-5942-200-8</t>
  </si>
  <si>
    <t>Mangatha Thangam</t>
  </si>
  <si>
    <t>978-81-19257-36-2</t>
  </si>
  <si>
    <t>Manjal Roja</t>
  </si>
  <si>
    <t>978-93-5942-664-8</t>
  </si>
  <si>
    <t>Oli Sudar</t>
  </si>
  <si>
    <t>978-93-5942-261-9</t>
  </si>
  <si>
    <t>Suvadugalum Suvadigalum</t>
  </si>
  <si>
    <t>978-93-5942-319-7</t>
  </si>
  <si>
    <t>Thalaratha Ullam</t>
  </si>
  <si>
    <t>978-93-5942-750-8</t>
  </si>
  <si>
    <t>Udhayan Engey?</t>
  </si>
  <si>
    <t>978-93-5942-812-3</t>
  </si>
  <si>
    <t>Uyarntha Manam</t>
  </si>
  <si>
    <t>978-93-5942-521-4</t>
  </si>
  <si>
    <t>Vithai Nel</t>
  </si>
  <si>
    <t>978-93-49330-70-2</t>
  </si>
  <si>
    <t>Mental Health Pandemic</t>
  </si>
  <si>
    <t>Yoga Venkatesh</t>
  </si>
  <si>
    <t>978-81-19166-45-9</t>
  </si>
  <si>
    <t>The Sales Horse</t>
  </si>
  <si>
    <t>978-93-5695-863-0</t>
  </si>
  <si>
    <t>RK001</t>
  </si>
  <si>
    <t>FIVE STAR DHROGAM</t>
  </si>
  <si>
    <t>RK002</t>
  </si>
  <si>
    <t>VELVET KUTTRANGAL</t>
  </si>
  <si>
    <t>RK003</t>
  </si>
  <si>
    <t>IRANDAVUTHU THAALI</t>
  </si>
  <si>
    <t>RK004</t>
  </si>
  <si>
    <t>ORU THULI KADAL</t>
  </si>
  <si>
    <t>RK006</t>
  </si>
  <si>
    <t>19 VAYATHU SORGAM - YAMUNAVIN 48 MANI NERAM ( 2 NOVEL COMBO)</t>
  </si>
  <si>
    <t>RK007</t>
  </si>
  <si>
    <t>VIVEK INI AATAM UN KAYIL - VIVEKKUM 41 NIMISANGALUM ( 2 NOVEL COMBO)</t>
  </si>
  <si>
    <t>RK008</t>
  </si>
  <si>
    <t>ANJATHE ANJU</t>
  </si>
  <si>
    <t>RK009</t>
  </si>
  <si>
    <t>KADAISI THEEKUCHI</t>
  </si>
  <si>
    <t>RK010</t>
  </si>
  <si>
    <t>AINTHAAM PIRAI - ADUTHTHA ILAKKU ( 2 NOVEL COMBO)</t>
  </si>
  <si>
    <t>RK011</t>
  </si>
  <si>
    <t>50KG TAJMAHAL - ABAYAA NOYAALI ( 2 NOVEL COMBO )</t>
  </si>
  <si>
    <t>RK012</t>
  </si>
  <si>
    <t>CALIFORNIA KADHALI -  HONGKONG VIZHIGAL ( 2 NOVEL COMBO )</t>
  </si>
  <si>
    <t>RK013</t>
  </si>
  <si>
    <t>VIVEK ROOBALA VISHNU THUPPARIYUM NOVELGAL - THOGUTHI 1  ( 3 NOVEL COMBO ) -Unnai Vittal Yaarumillai,</t>
  </si>
  <si>
    <t>RK014</t>
  </si>
  <si>
    <t>VIVEK ROOBALA VISHNU THUPPARIYUM NOVELGAL - THOGUTHI 2  ( 3 NOVEL COMBO ) - Paainthu Vaa Vivek, Only</t>
  </si>
  <si>
    <t>RK015</t>
  </si>
  <si>
    <t>VIVEK ROOBALA VISHNU THUPPARIYUM NOVELGAL - THOGUTHI 3 ( 4 NOVEL COMBO ) - Jeyippadhu Nijam, Vivek I</t>
  </si>
  <si>
    <t>RK016</t>
  </si>
  <si>
    <t>IRAVAL SORGAM</t>
  </si>
  <si>
    <t>RK017</t>
  </si>
  <si>
    <t>THEVAI ORU DEVATHAI</t>
  </si>
  <si>
    <t>RK018</t>
  </si>
  <si>
    <t>SIR ORU SANTHEGAM - (COMPLETE )</t>
  </si>
  <si>
    <t>RK019</t>
  </si>
  <si>
    <t>RAJESHKUMAR KELVI BATHILGAL</t>
  </si>
  <si>
    <t>RK020</t>
  </si>
  <si>
    <t>VIBHAREETHANGAL INGAE VIRKKAPPADUM</t>
  </si>
  <si>
    <t>RK021</t>
  </si>
  <si>
    <t>PATHINORAVATHU AVATHARAM - PANI NILAVU ( 2 NOVEL COMBO)</t>
  </si>
  <si>
    <t>RK022</t>
  </si>
  <si>
    <t>VELLAI NIRATHTHIL ORU VAANAVIL - THAVARUKKUM THAVARANA THAVARU ( 2 NOVEL COMBO)</t>
  </si>
  <si>
    <t>RK023</t>
  </si>
  <si>
    <t>KAANAMAL PONA AAGAYAM - IRAVU NERA SURIYAGANDHI ( 2 NOVEL COMBO)</t>
  </si>
  <si>
    <t>RK024</t>
  </si>
  <si>
    <t>VILAIKKU ORU VAANAVIL - GANGAI INGAE THIRUMBUKIRATHU (2 NOVEL COMBO)</t>
  </si>
  <si>
    <t>RK025</t>
  </si>
  <si>
    <t>POI POIYAITH THAVIRA VERONDRUMILLAI - ORE ORU NAAL ( 2 NOVEL COMBO)</t>
  </si>
  <si>
    <t>RK026</t>
  </si>
  <si>
    <t>KARUNAAGAPURA GRAMMAM - SIVAPPIN NIRAM KARUPPU ( 2 NOVEL COMBO)</t>
  </si>
  <si>
    <t>RK027</t>
  </si>
  <si>
    <t>KILIYUGAM - UYIR URUGUM SATHTHAM (2 NOVEL COMBO)</t>
  </si>
  <si>
    <t>RK028</t>
  </si>
  <si>
    <t>SARPPA VIYUGAM - YETHO NADAKKIRATHU</t>
  </si>
  <si>
    <t>RK029-1</t>
  </si>
  <si>
    <t>NALLIRAVUCH SEITHIGAL VAASIPADHU DHURGA PART 1</t>
  </si>
  <si>
    <t>RK029-2</t>
  </si>
  <si>
    <t>NALLIRAVUCH SEITHIGAL VAASIPADHU DHURGA PART 2</t>
  </si>
  <si>
    <t>RK031</t>
  </si>
  <si>
    <t>SELECT CRIME THRILLERS OF RAJESHKUMAR DIGEST 1 (ENGLISH)</t>
  </si>
  <si>
    <t>RK032</t>
  </si>
  <si>
    <t>THIK THIK THILAGA</t>
  </si>
  <si>
    <t>RK033</t>
  </si>
  <si>
    <t>AMIRTHAM ENRAAL VISHAM</t>
  </si>
  <si>
    <t>RK034</t>
  </si>
  <si>
    <t>NEELA NILA</t>
  </si>
  <si>
    <t>RK035</t>
  </si>
  <si>
    <t>JANNAL SEETHAIGAL  - MAATHANGALIL AVAL MARGZHALI ( 2 NOVEL COMBO)</t>
  </si>
  <si>
    <t>RK036</t>
  </si>
  <si>
    <t>PANJAMA PAATHAGAM - ARABIA ROJA ( 2 NOVEL COMBO)</t>
  </si>
  <si>
    <t>RK037</t>
  </si>
  <si>
    <t>VIVEK, VISHNU, KONJAM VIBHAREETHAM!</t>
  </si>
  <si>
    <t>RK038</t>
  </si>
  <si>
    <t>THE LAST SECOND (ENGLISH)</t>
  </si>
  <si>
    <t>RK039</t>
  </si>
  <si>
    <t>SELECT CRIME THRILLERS OF RAJESHKUMAR DIGEST 2 (ENGLISH)</t>
  </si>
  <si>
    <t>RK040</t>
  </si>
  <si>
    <t>KADAISI ETHIRI - MAHA SATHI (2 NOVEL COMBO)</t>
  </si>
  <si>
    <t>RK041</t>
  </si>
  <si>
    <t>VIVEK ROOBALA VISHNU THUPPARIYUM NOVELGAL - THOGUTHI 4 ( 2  NOVEL COMBO ) - Ezhavathu Arivu, Vivekki</t>
  </si>
  <si>
    <t>RK042</t>
  </si>
  <si>
    <t>VIVEK ROOBALA VISHNU THUPPARIYUM NOVELGAL - THOGUTHI 5 ( 2 NOVEL COMBO ) -Ippadikku Oru Indian, A fo</t>
  </si>
  <si>
    <t>RK043</t>
  </si>
  <si>
    <t>RAJESHKUMARIN KURUNOVELGAL - THOGUTHI 1</t>
  </si>
  <si>
    <t>RK044</t>
  </si>
  <si>
    <t>KANNAI NAMBATHE - THALAI ILLATHA SILAI  ( 2 NOVEL COMBO )</t>
  </si>
  <si>
    <t>RK045</t>
  </si>
  <si>
    <t>MIDNIGHT RAINBOW (ENGLISH)</t>
  </si>
  <si>
    <t>RK046</t>
  </si>
  <si>
    <t>ADVANCE ANJALI - 23VATHU  JANNAL ( 2 NOVEL COMBO )</t>
  </si>
  <si>
    <t>RK047</t>
  </si>
  <si>
    <t>AABATHU INGAE AARAMBAM - PATHTHU VINAADI AABATHU ( 2 NOVEL COMBO )</t>
  </si>
  <si>
    <t>RK048</t>
  </si>
  <si>
    <t>KUTTRAMUM KATTRU MARA ! - ANU ORE AACHARIYAM ( 2 NOVEL COMBO )</t>
  </si>
  <si>
    <t>RK049</t>
  </si>
  <si>
    <t>RANI 2000  -  ILAVASAM ORU VAANAVIL ( 2 NOVEL COMBO)</t>
  </si>
  <si>
    <t>RK050</t>
  </si>
  <si>
    <t>SAAGA VARAM -KOLAI THODARBUKKU APPAAL…! ( 2 NOVEL COMBO )</t>
  </si>
  <si>
    <t>RK051</t>
  </si>
  <si>
    <t>READYMADE SORGAM - NIGHT FLIGHT TO NEWYORK ( 2 NOVEL COMBO )</t>
  </si>
  <si>
    <t>RK052</t>
  </si>
  <si>
    <t>AABAYAM... THODU!</t>
  </si>
  <si>
    <t>RK053</t>
  </si>
  <si>
    <t>UTHADUGAL SUDUM - KAGITHA PULIGAL ( 2 NOVEL COMBO )</t>
  </si>
  <si>
    <t>RK054</t>
  </si>
  <si>
    <t>KUTTRAM PURINTHAVAN (SHORT STORY DIGEST)</t>
  </si>
  <si>
    <t>RK055</t>
  </si>
  <si>
    <t>ARUNTHATHIYUM AARU THOTTAKKALUM (SHORT STORY DIGEST)</t>
  </si>
  <si>
    <t>RK056</t>
  </si>
  <si>
    <t>KANNADI VINAADIGAL (SHORT STORY DIGEST)</t>
  </si>
  <si>
    <t>RK057</t>
  </si>
  <si>
    <t>ORU PACCHAINIRA ECHARIKKAI ( (SHORT STORY DIGEST)</t>
  </si>
  <si>
    <t>RK058</t>
  </si>
  <si>
    <t>EVEREST THOTTUVIDUM UYARAMTHAAN</t>
  </si>
  <si>
    <t>RK059</t>
  </si>
  <si>
    <t>HITECH DHADHAKKAL</t>
  </si>
  <si>
    <t>RK060</t>
  </si>
  <si>
    <t>CYANIDE PUNNAGAI - AINTHU GRAM AABATHU ( 2 NOVEL COMBO )</t>
  </si>
  <si>
    <t>RK061</t>
  </si>
  <si>
    <t>APPURAM ANITHA  - IPPADIKKU IRANTHUPONA RAMA ( 2 NOVEL COMBO )</t>
  </si>
  <si>
    <t>RK062</t>
  </si>
  <si>
    <t>ANBE…INDIA - IDHU POTHUVAZHI ALLA ( 2 NOVEL COMBO )</t>
  </si>
  <si>
    <t>RK063</t>
  </si>
  <si>
    <t>ARAI VINAADI ANIYAYAM  - ANGE... INGE ...ENGE ? ( 2 NOVEL COMBO )</t>
  </si>
  <si>
    <t>RK064</t>
  </si>
  <si>
    <t>ANTHA 69 NAATKAL  - DECEMBER 31,1999 ( 2 NOVEL COMBO )</t>
  </si>
  <si>
    <t>RK065</t>
  </si>
  <si>
    <t xml:space="preserve">BOMBAYKKU PATHTHAVATHU MILELIL </t>
  </si>
  <si>
    <t>RK066</t>
  </si>
  <si>
    <t>MELLA MELLA  ENNAIK  KOLLADHEY  - PUDHUDELHI 5.45 A.M.  ( 2 NOVEL COMBO )</t>
  </si>
  <si>
    <t>RK067</t>
  </si>
  <si>
    <t>SINDHIYA RATHTHAM INDIYA RATHTHAM  - EASTMENNIRA NIZHALGAL ( 2 NOVEL COMBO )</t>
  </si>
  <si>
    <t>RK068</t>
  </si>
  <si>
    <t>BULLET PUNNAGAI - SIVAPPU NIMISHANGAL ( 2 NOVEL COMBO )</t>
  </si>
  <si>
    <t>RK069</t>
  </si>
  <si>
    <t>NANDHINI NAALAI IRAKKIRAAL!  - INI ILLAI.. INDHU ( 2 NOVEL COMBO)</t>
  </si>
  <si>
    <t>RK070</t>
  </si>
  <si>
    <t>KANNILLAATHA BOMMAI - NIMISHATHUKKU NIMISHAM  ( 2 NOVEL COMBO )</t>
  </si>
  <si>
    <t>RK071</t>
  </si>
  <si>
    <t>UDAINTHA NILA - SORGAM EN KAYIL  ( 2 NOVEL COMBO )</t>
  </si>
  <si>
    <t>RK072</t>
  </si>
  <si>
    <t>ULARAADHA RATHTHAM - ENRAAVATHU ORUNAAL ( 2 NOVEL COMBO ) </t>
  </si>
  <si>
    <t>RK073</t>
  </si>
  <si>
    <t>ORU KODI RAATHIRIGAL  - AGMARK MURDER  ( 2 NOVEL COMBO )</t>
  </si>
  <si>
    <t>RK074</t>
  </si>
  <si>
    <t>VIBAREEDHATHITHIRUKKU ORU VISAA  - KODU THANDATHEY ( 2 NOVEL COMBO )</t>
  </si>
  <si>
    <t>RK075</t>
  </si>
  <si>
    <t>OOMATHTHAM POOKKAL</t>
  </si>
  <si>
    <t>RK076</t>
  </si>
  <si>
    <t>KAAGIDHA ROJAKKAL</t>
  </si>
  <si>
    <t>RK077</t>
  </si>
  <si>
    <t>ETHIRKAATRUP PARAVAIGAL</t>
  </si>
  <si>
    <t>RK078</t>
  </si>
  <si>
    <t>KONJAM MEGAM KONJAM NILAVU</t>
  </si>
  <si>
    <t>RK079</t>
  </si>
  <si>
    <t>KODI KODI MINNALGAL - ORU VAANAM SILA PARAVAIGAL  ( 2 NOVEL COMBO )</t>
  </si>
  <si>
    <t>RK080</t>
  </si>
  <si>
    <t>VIDIYAADHA IRAVONDRU VENDUM - VAADAGAI DEVADHAI  ( 2 NOVEL COMBO )</t>
  </si>
  <si>
    <t>RK081</t>
  </si>
  <si>
    <t>VELVET KILLER - INIMAIKKU INNORU PEYAR ANITHA - SUTTUVIDA SUTTUVIDATH THODARUM ( 3 NOVEL COMBO )</t>
  </si>
  <si>
    <t>RK082</t>
  </si>
  <si>
    <t>UCCHI NILA - THIGIL KAALAM ( 2 NOVEL COMBO)</t>
  </si>
  <si>
    <t>RK083</t>
  </si>
  <si>
    <t>IRANDAVATHU UYIR - SATHIYAAVIN SABATHAM ( 2 NOVEL COMBO)</t>
  </si>
  <si>
    <t>RK084</t>
  </si>
  <si>
    <t>SIVAPPU UDAI DEVADHAI - TAJMAHAL NIZHAL ( 2 NOVEL COMBO)</t>
  </si>
  <si>
    <t>RK085</t>
  </si>
  <si>
    <t>INGAE VIVEK RAAJIYAM</t>
  </si>
  <si>
    <t>RK086</t>
  </si>
  <si>
    <t>ENAKKU NAANE NALLAVAN!</t>
  </si>
  <si>
    <t>RK087</t>
  </si>
  <si>
    <t>ONDRUM ONDRUM MOONDRU!</t>
  </si>
  <si>
    <t>RK088</t>
  </si>
  <si>
    <t>VARNAAVIN MARANAM - DHIK DHIK DHIVYA ( 2 NOVEL COMBO)</t>
  </si>
  <si>
    <t>RK089</t>
  </si>
  <si>
    <t>INI MINMINI</t>
  </si>
  <si>
    <t>RK090</t>
  </si>
  <si>
    <t>PANAKKADAL (SHORT STORY DIGEST)</t>
  </si>
  <si>
    <t>RK091</t>
  </si>
  <si>
    <t>Onbathavathu Thisai Pathavathu Graham</t>
  </si>
  <si>
    <t>RK092</t>
  </si>
  <si>
    <t>Vivek Roopala Vishnu thuppariyum Athiradi Kathaikal (3 Novel Thoguppu) - Aluminiya paravaigal  - Niz</t>
  </si>
  <si>
    <t>RK093</t>
  </si>
  <si>
    <t>Pooja, Pudhudelhi, Boogambam!</t>
  </si>
  <si>
    <t>RK094</t>
  </si>
  <si>
    <t>Maandavan Kattalai</t>
  </si>
  <si>
    <t>RK095</t>
  </si>
  <si>
    <t>SWASIKKA NERAMILLAI</t>
  </si>
  <si>
    <t>RK096</t>
  </si>
  <si>
    <t>EZHAVATHU TEST TUBE - DYNAMITE 98 (2 NOVEL COMBO)</t>
  </si>
  <si>
    <t>RK097</t>
  </si>
  <si>
    <t>VAADAGAIKKU ORE UYIR - NANDHINI 440 VOLTS (2 NOVEL COMBO)</t>
  </si>
  <si>
    <t>Summary</t>
  </si>
  <si>
    <t>Description</t>
  </si>
  <si>
    <t>Returned</t>
  </si>
  <si>
    <t>Total Sales</t>
  </si>
  <si>
    <t>25% Discount</t>
  </si>
  <si>
    <t>Ramesh To Pay to Pustaka</t>
  </si>
  <si>
    <t>Amount received through Axis</t>
  </si>
  <si>
    <t>Total Books Sent</t>
  </si>
  <si>
    <t>Books</t>
  </si>
  <si>
    <t>Total MRP</t>
  </si>
  <si>
    <t>Return MRP</t>
  </si>
  <si>
    <t>Sale MRP</t>
  </si>
  <si>
    <t>Discount</t>
  </si>
  <si>
    <t>After Discount</t>
  </si>
  <si>
    <t>Cash receiced</t>
  </si>
  <si>
    <t>Total Received</t>
  </si>
  <si>
    <t>Ramesh To Pay</t>
  </si>
  <si>
    <t>Item Code</t>
  </si>
  <si>
    <t>Item</t>
  </si>
  <si>
    <t>Quantity</t>
  </si>
  <si>
    <t>Gross Amt</t>
  </si>
  <si>
    <t>SD Amt</t>
  </si>
  <si>
    <t>CD Amt</t>
  </si>
  <si>
    <t>Taxable</t>
  </si>
  <si>
    <t>Tax Amt</t>
  </si>
  <si>
    <t>Cess Amt</t>
  </si>
  <si>
    <t>Total</t>
  </si>
  <si>
    <t>Profit</t>
  </si>
  <si>
    <t>PP</t>
  </si>
  <si>
    <t>itemid</t>
  </si>
  <si>
    <t>OP-RK02</t>
  </si>
  <si>
    <t>OP-RK03</t>
  </si>
  <si>
    <t>OP-RK06</t>
  </si>
  <si>
    <t>OP-RK09</t>
  </si>
  <si>
    <t>OP-RK10</t>
  </si>
  <si>
    <t>OP-RK12</t>
  </si>
  <si>
    <t>OP-RK13</t>
  </si>
  <si>
    <t>OP-RK17</t>
  </si>
  <si>
    <t>OP-RK18</t>
  </si>
  <si>
    <t>OP-RK22</t>
  </si>
  <si>
    <t>OP-RK26</t>
  </si>
  <si>
    <t>OP-RK28</t>
  </si>
  <si>
    <t>OP-RK29-1</t>
  </si>
  <si>
    <t>OP-RK29-2</t>
  </si>
  <si>
    <t>OP-RK31</t>
  </si>
  <si>
    <t>OP-RK32</t>
  </si>
  <si>
    <t>OP-RK33</t>
  </si>
  <si>
    <t>OP-RK34</t>
  </si>
  <si>
    <t>OP-RK35</t>
  </si>
  <si>
    <t>OP-RK36</t>
  </si>
  <si>
    <t>OP-RK37</t>
  </si>
  <si>
    <t>OP-RK38</t>
  </si>
  <si>
    <t>OP-RK39</t>
  </si>
  <si>
    <t>OP-RK40</t>
  </si>
  <si>
    <t>OP-RK41</t>
  </si>
  <si>
    <t>OP-RK42</t>
  </si>
  <si>
    <t>OP-RK43</t>
  </si>
  <si>
    <t>OP-RK44</t>
  </si>
  <si>
    <t>OP-RK45</t>
  </si>
  <si>
    <t>OP-RK46</t>
  </si>
  <si>
    <t>OP-RK49</t>
  </si>
  <si>
    <t>OP-RK51</t>
  </si>
  <si>
    <t>OP-RK54</t>
  </si>
  <si>
    <t>OP-RK56</t>
  </si>
  <si>
    <t>OP-RK58</t>
  </si>
  <si>
    <t>OP-RK59</t>
  </si>
  <si>
    <t>OP-RK60</t>
  </si>
  <si>
    <t>OP-RK61</t>
  </si>
  <si>
    <t>OP-RK64</t>
  </si>
  <si>
    <t>OP-RK65</t>
  </si>
  <si>
    <t>OP-RK67</t>
  </si>
  <si>
    <t>OP-RK68</t>
  </si>
  <si>
    <t>OP-RK69</t>
  </si>
  <si>
    <t>OP-RK70</t>
  </si>
  <si>
    <t>OP-RK73</t>
  </si>
  <si>
    <t>OP-RK74</t>
  </si>
  <si>
    <t>OP-RK76</t>
  </si>
  <si>
    <t>OP-RK77</t>
  </si>
  <si>
    <t>OP-RK79</t>
  </si>
  <si>
    <t>OP-RK81</t>
  </si>
  <si>
    <t>OP-RK82</t>
  </si>
  <si>
    <t>OP-RK83</t>
  </si>
  <si>
    <t>OP-RK86</t>
  </si>
  <si>
    <t>OP-RK87</t>
  </si>
  <si>
    <t>OP-RK88</t>
  </si>
  <si>
    <t>OP-RK89</t>
  </si>
  <si>
    <t>OP-RK90</t>
  </si>
  <si>
    <t>OP-RK92</t>
  </si>
  <si>
    <t>OP-RK94</t>
  </si>
  <si>
    <t>OP-RK95</t>
  </si>
  <si>
    <t>OP-RK96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</si>
</sst>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_);[Red]\(&quot;₹&quot;#,##0.00\)"/>
    <numFmt numFmtId="165" formatCode="&quot;₹&quot;#,##0.00"/>
  </numFmts>
  <fonts count="12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9"/>
      <color rgb="FF4B5563"/>
      <name val="Arial"/>
      <family val="2"/>
    </font>
    <font>
      <sz val="10"/>
      <color rgb="FF111827"/>
      <name val="Arial"/>
      <family val="2"/>
    </font>
    <font>
      <sz val="9"/>
      <color rgb="FF111827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2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left" vertical="center" wrapText="1"/>
    </xf>
    <xf numFmtId="0" fontId="1" fillId="3" borderId="4" xfId="0" applyFont="1" applyFill="1" applyBorder="1"/>
    <xf numFmtId="0" fontId="8" fillId="0" borderId="5" xfId="0" applyFont="1" applyBorder="1"/>
    <xf numFmtId="165" fontId="8" fillId="0" borderId="5" xfId="0" applyNumberFormat="1" applyFont="1" applyBorder="1"/>
    <xf numFmtId="1" fontId="8" fillId="0" borderId="5" xfId="0" applyNumberFormat="1" applyFont="1" applyBorder="1"/>
    <xf numFmtId="0" fontId="8" fillId="0" borderId="5" xfId="0" applyFont="1" applyBorder="1" applyAlignment="1">
      <alignment horizontal="right"/>
    </xf>
    <xf numFmtId="0" fontId="8" fillId="0" borderId="5" xfId="0" applyFont="1" applyBorder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165" fontId="9" fillId="0" borderId="0" xfId="0" applyNumberFormat="1" applyFont="1"/>
    <xf numFmtId="0" fontId="10" fillId="4" borderId="0" xfId="0" applyFont="1" applyFill="1"/>
    <xf numFmtId="1" fontId="10" fillId="4" borderId="0" xfId="0" applyNumberFormat="1" applyFont="1" applyFill="1"/>
    <xf numFmtId="1" fontId="0" fillId="0" borderId="0" xfId="0" applyNumberFormat="1"/>
    <xf numFmtId="0" fontId="11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40B2-4273-4E43-9266-165CEBE9ACFB}">
  <dimension ref="A1:D15"/>
  <sheetViews>
    <sheetView workbookViewId="0">
      <selection activeCell="C7" sqref="C7"/>
    </sheetView>
  </sheetViews>
  <sheetFormatPr defaultColWidth="11.19921875" defaultRowHeight="14.4" x14ac:dyDescent="0.3"/>
  <cols>
    <col min="1" max="1" width="38.19921875" bestFit="1" customWidth="1"/>
    <col min="2" max="2" width="10.5" customWidth="1"/>
    <col min="3" max="3" width="15.296875" bestFit="1" customWidth="1"/>
    <col min="4" max="4" width="13.296875" bestFit="1" customWidth="1"/>
  </cols>
  <sheetData>
    <row r="1" spans="1:4" ht="26.6" thickBot="1" x14ac:dyDescent="0.6">
      <c r="A1" s="22" t="s">
        <v>2340</v>
      </c>
      <c r="B1" s="23"/>
      <c r="C1" s="23"/>
      <c r="D1" s="24"/>
    </row>
    <row r="2" spans="1:4" ht="18.3" x14ac:dyDescent="0.4">
      <c r="A2" s="8" t="s">
        <v>2341</v>
      </c>
      <c r="B2" s="8" t="s">
        <v>2348</v>
      </c>
      <c r="C2" s="8" t="s">
        <v>6</v>
      </c>
      <c r="D2" s="8" t="s">
        <v>6</v>
      </c>
    </row>
    <row r="3" spans="1:4" ht="21.05" x14ac:dyDescent="0.45">
      <c r="A3" s="9" t="s">
        <v>2347</v>
      </c>
      <c r="B3" s="11" t="e">
        <f>'Packing list'!#REF!</f>
        <v>#REF!</v>
      </c>
      <c r="C3" s="10" t="e">
        <f>'Packing list'!#REF!</f>
        <v>#REF!</v>
      </c>
      <c r="D3" s="10"/>
    </row>
    <row r="4" spans="1:4" ht="21.05" x14ac:dyDescent="0.45">
      <c r="A4" s="12" t="s">
        <v>2342</v>
      </c>
      <c r="B4" s="9" t="e">
        <f>'Packing list'!#REF!</f>
        <v>#REF!</v>
      </c>
      <c r="C4" s="10" t="e">
        <f>'Packing list'!#REF!</f>
        <v>#REF!</v>
      </c>
      <c r="D4" s="10"/>
    </row>
    <row r="5" spans="1:4" ht="21.05" x14ac:dyDescent="0.45">
      <c r="A5" s="12"/>
      <c r="B5" s="9"/>
      <c r="C5" s="10"/>
      <c r="D5" s="10"/>
    </row>
    <row r="6" spans="1:4" ht="21.05" x14ac:dyDescent="0.45">
      <c r="A6" s="13" t="s">
        <v>2343</v>
      </c>
      <c r="B6" s="11" t="e">
        <f>'Packing list'!#REF!</f>
        <v>#REF!</v>
      </c>
      <c r="C6" s="10" t="e">
        <f>'Packing list'!#REF!</f>
        <v>#REF!</v>
      </c>
      <c r="D6" s="10"/>
    </row>
    <row r="7" spans="1:4" ht="21.05" x14ac:dyDescent="0.45">
      <c r="A7" s="12" t="s">
        <v>2344</v>
      </c>
      <c r="B7" s="9"/>
      <c r="C7" s="10"/>
      <c r="D7" s="10" t="e">
        <f>'Packing list'!#REF!</f>
        <v>#REF!</v>
      </c>
    </row>
    <row r="8" spans="1:4" ht="21.05" x14ac:dyDescent="0.45">
      <c r="A8" s="13" t="s">
        <v>2345</v>
      </c>
      <c r="B8" s="9"/>
      <c r="C8" s="10" t="e">
        <f>'Packing list'!#REF!</f>
        <v>#REF!</v>
      </c>
      <c r="D8" s="10"/>
    </row>
    <row r="11" spans="1:4" ht="18.3" x14ac:dyDescent="0.4">
      <c r="A11" s="1" t="s">
        <v>2346</v>
      </c>
      <c r="B11" s="1"/>
      <c r="C11" s="14">
        <v>79028</v>
      </c>
    </row>
    <row r="12" spans="1:4" ht="18.3" x14ac:dyDescent="0.4">
      <c r="A12" s="1" t="s">
        <v>2354</v>
      </c>
      <c r="B12" s="1"/>
      <c r="C12" s="15">
        <v>35000</v>
      </c>
    </row>
    <row r="13" spans="1:4" ht="18.3" x14ac:dyDescent="0.4">
      <c r="A13" s="1" t="s">
        <v>2355</v>
      </c>
      <c r="B13" s="1"/>
      <c r="C13" s="15">
        <f>C11+C12</f>
        <v>114028</v>
      </c>
    </row>
    <row r="15" spans="1:4" ht="21.05" x14ac:dyDescent="0.45">
      <c r="A15" s="1" t="s">
        <v>2356</v>
      </c>
      <c r="C15" s="17" t="e">
        <f>C8-C13</f>
        <v>#REF!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28"/>
  <sheetViews>
    <sheetView topLeftCell="E1" zoomScale="115" workbookViewId="0">
      <selection activeCell="B3" sqref="B3:B1127"/>
    </sheetView>
  </sheetViews>
  <sheetFormatPr defaultColWidth="8.796875" defaultRowHeight="14.4" x14ac:dyDescent="0.3"/>
  <cols>
    <col min="1" max="1" width="12.8984375" customWidth="1"/>
    <col min="2" max="2" width="61" bestFit="1" customWidth="1"/>
    <col min="3" max="3" width="24.296875" customWidth="1"/>
    <col min="4" max="4" width="18.69921875" customWidth="1"/>
    <col min="5" max="7" width="8.796875" customWidth="1"/>
    <col min="8" max="9" width="11.69921875" customWidth="1"/>
    <col min="10" max="10" width="12.59765625" customWidth="1"/>
    <col min="11" max="11" width="17.19921875" customWidth="1"/>
    <col min="12" max="12" width="19.59765625" customWidth="1"/>
    <col min="13" max="13" width="14.69921875" customWidth="1"/>
    <col min="14" max="14" width="13.19921875" customWidth="1"/>
    <col min="15" max="15" width="15.296875" bestFit="1" customWidth="1"/>
    <col min="18" max="18" width="63.19921875" customWidth="1"/>
  </cols>
  <sheetData>
    <row r="1" spans="1:18" s="1" customFormat="1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2349</v>
      </c>
      <c r="J1" s="1" t="s">
        <v>8</v>
      </c>
      <c r="K1" s="1" t="s">
        <v>2350</v>
      </c>
      <c r="L1" s="1" t="s">
        <v>9</v>
      </c>
      <c r="M1" s="1" t="s">
        <v>2351</v>
      </c>
      <c r="N1" s="1" t="s">
        <v>2352</v>
      </c>
      <c r="O1" s="1" t="s">
        <v>2353</v>
      </c>
    </row>
    <row r="2" spans="1:18" hidden="1" x14ac:dyDescent="0.3">
      <c r="A2">
        <v>2090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40</v>
      </c>
      <c r="H2">
        <v>2</v>
      </c>
      <c r="I2" s="16">
        <f>H2*G2</f>
        <v>80</v>
      </c>
      <c r="J2">
        <v>2</v>
      </c>
      <c r="K2">
        <f>J2*G2</f>
        <v>80</v>
      </c>
      <c r="L2">
        <f t="shared" ref="L2:L9" si="0">H2-J2</f>
        <v>0</v>
      </c>
      <c r="M2">
        <f>L2*G2</f>
        <v>0</v>
      </c>
      <c r="N2">
        <f>M2*0.25</f>
        <v>0</v>
      </c>
      <c r="O2">
        <f>M2-N2</f>
        <v>0</v>
      </c>
    </row>
    <row r="3" spans="1:18" ht="18.3" x14ac:dyDescent="0.4">
      <c r="A3">
        <v>2003</v>
      </c>
      <c r="B3" t="s">
        <v>15</v>
      </c>
      <c r="C3" t="s">
        <v>11</v>
      </c>
      <c r="D3" t="s">
        <v>16</v>
      </c>
      <c r="E3" t="s">
        <v>13</v>
      </c>
      <c r="F3" t="s">
        <v>14</v>
      </c>
      <c r="G3">
        <v>230</v>
      </c>
      <c r="H3">
        <v>4</v>
      </c>
      <c r="I3" s="16">
        <f t="shared" ref="I3:I66" si="1">H3*G3</f>
        <v>920</v>
      </c>
      <c r="J3">
        <v>0</v>
      </c>
      <c r="K3">
        <f t="shared" ref="K3:K66" si="2">J3*G3</f>
        <v>0</v>
      </c>
      <c r="L3">
        <f t="shared" si="0"/>
        <v>4</v>
      </c>
      <c r="M3">
        <f t="shared" ref="M3:M66" si="3">L3*G3</f>
        <v>920</v>
      </c>
      <c r="N3">
        <f t="shared" ref="N3:N66" si="4">M3*0.25</f>
        <v>230</v>
      </c>
      <c r="O3">
        <f t="shared" ref="O3:O66" si="5">M3-N3</f>
        <v>690</v>
      </c>
      <c r="R3" s="21" t="str">
        <f>_xlfn.TEXTJOIN("  by ",TRUE,B2,C2)</f>
        <v>Aambalai  by Anuradha Ramanan</v>
      </c>
    </row>
    <row r="4" spans="1:18" ht="18.3" x14ac:dyDescent="0.4">
      <c r="A4">
        <v>2011</v>
      </c>
      <c r="B4" t="s">
        <v>17</v>
      </c>
      <c r="C4" t="s">
        <v>11</v>
      </c>
      <c r="D4" t="s">
        <v>18</v>
      </c>
      <c r="E4" t="s">
        <v>13</v>
      </c>
      <c r="F4" t="s">
        <v>14</v>
      </c>
      <c r="G4">
        <v>260</v>
      </c>
      <c r="H4">
        <v>4</v>
      </c>
      <c r="I4" s="16">
        <f t="shared" si="1"/>
        <v>1040</v>
      </c>
      <c r="J4">
        <v>1</v>
      </c>
      <c r="K4">
        <f t="shared" si="2"/>
        <v>260</v>
      </c>
      <c r="L4">
        <f t="shared" si="0"/>
        <v>3</v>
      </c>
      <c r="M4">
        <f t="shared" si="3"/>
        <v>780</v>
      </c>
      <c r="N4">
        <f t="shared" si="4"/>
        <v>195</v>
      </c>
      <c r="O4">
        <f t="shared" si="5"/>
        <v>585</v>
      </c>
      <c r="R4" s="21" t="str">
        <f t="shared" ref="R4:R7" si="6">_xlfn.TEXTJOIN("  by ",TRUE,B3,C3)</f>
        <v>Anuradha Ramananin Sirukathaigal - Part 1  by Anuradha Ramanan</v>
      </c>
    </row>
    <row r="5" spans="1:18" ht="18.3" x14ac:dyDescent="0.4">
      <c r="A5">
        <v>2021</v>
      </c>
      <c r="B5" t="s">
        <v>19</v>
      </c>
      <c r="C5" t="s">
        <v>11</v>
      </c>
      <c r="D5" t="s">
        <v>20</v>
      </c>
      <c r="E5" t="s">
        <v>13</v>
      </c>
      <c r="F5" t="s">
        <v>14</v>
      </c>
      <c r="G5">
        <v>220</v>
      </c>
      <c r="H5">
        <v>4</v>
      </c>
      <c r="I5" s="16">
        <f t="shared" si="1"/>
        <v>880</v>
      </c>
      <c r="J5">
        <v>2</v>
      </c>
      <c r="K5">
        <f t="shared" si="2"/>
        <v>440</v>
      </c>
      <c r="L5">
        <f t="shared" si="0"/>
        <v>2</v>
      </c>
      <c r="M5">
        <f t="shared" si="3"/>
        <v>440</v>
      </c>
      <c r="N5">
        <f t="shared" si="4"/>
        <v>110</v>
      </c>
      <c r="O5">
        <f t="shared" si="5"/>
        <v>330</v>
      </c>
      <c r="R5" s="21" t="str">
        <f t="shared" si="6"/>
        <v>Anuradha Ramananin Sirukathaigal - Part 2  by Anuradha Ramanan</v>
      </c>
    </row>
    <row r="6" spans="1:18" ht="18.3" x14ac:dyDescent="0.4">
      <c r="A6">
        <v>2048</v>
      </c>
      <c r="B6" t="s">
        <v>21</v>
      </c>
      <c r="C6" t="s">
        <v>11</v>
      </c>
      <c r="D6" t="s">
        <v>22</v>
      </c>
      <c r="E6" t="s">
        <v>13</v>
      </c>
      <c r="F6" t="s">
        <v>14</v>
      </c>
      <c r="G6">
        <v>240</v>
      </c>
      <c r="H6">
        <v>4</v>
      </c>
      <c r="I6" s="16">
        <f t="shared" si="1"/>
        <v>960</v>
      </c>
      <c r="J6">
        <v>3</v>
      </c>
      <c r="K6">
        <f t="shared" si="2"/>
        <v>720</v>
      </c>
      <c r="L6">
        <f t="shared" si="0"/>
        <v>1</v>
      </c>
      <c r="M6">
        <f t="shared" si="3"/>
        <v>240</v>
      </c>
      <c r="N6">
        <f t="shared" si="4"/>
        <v>60</v>
      </c>
      <c r="O6">
        <f t="shared" si="5"/>
        <v>180</v>
      </c>
      <c r="R6" s="21" t="str">
        <f t="shared" si="6"/>
        <v>Anuradha Ramananin Sirukathaigal - Part 3  by Anuradha Ramanan</v>
      </c>
    </row>
    <row r="7" spans="1:18" ht="18.3" x14ac:dyDescent="0.4">
      <c r="A7">
        <v>2049</v>
      </c>
      <c r="B7" t="s">
        <v>23</v>
      </c>
      <c r="C7" t="s">
        <v>11</v>
      </c>
      <c r="D7" t="s">
        <v>24</v>
      </c>
      <c r="E7" t="s">
        <v>13</v>
      </c>
      <c r="F7" t="s">
        <v>14</v>
      </c>
      <c r="G7">
        <v>190</v>
      </c>
      <c r="H7">
        <v>4</v>
      </c>
      <c r="I7" s="16">
        <f t="shared" si="1"/>
        <v>760</v>
      </c>
      <c r="J7">
        <v>3</v>
      </c>
      <c r="K7">
        <f t="shared" si="2"/>
        <v>570</v>
      </c>
      <c r="L7">
        <f t="shared" si="0"/>
        <v>1</v>
      </c>
      <c r="M7">
        <f t="shared" si="3"/>
        <v>190</v>
      </c>
      <c r="N7">
        <f t="shared" si="4"/>
        <v>47.5</v>
      </c>
      <c r="O7">
        <f t="shared" si="5"/>
        <v>142.5</v>
      </c>
      <c r="R7" s="21" t="str">
        <f t="shared" si="6"/>
        <v>Anuradha Ramananin Sirukathaigal - Part 4  by Anuradha Ramanan</v>
      </c>
    </row>
    <row r="8" spans="1:18" hidden="1" x14ac:dyDescent="0.3">
      <c r="A8">
        <v>1471</v>
      </c>
      <c r="B8" t="s">
        <v>25</v>
      </c>
      <c r="C8" t="s">
        <v>11</v>
      </c>
      <c r="D8" t="s">
        <v>26</v>
      </c>
      <c r="E8" t="s">
        <v>13</v>
      </c>
      <c r="F8" t="s">
        <v>14</v>
      </c>
      <c r="G8">
        <v>100</v>
      </c>
      <c r="H8">
        <v>2</v>
      </c>
      <c r="I8" s="16">
        <f t="shared" si="1"/>
        <v>200</v>
      </c>
      <c r="J8">
        <v>2</v>
      </c>
      <c r="K8">
        <f t="shared" si="2"/>
        <v>200</v>
      </c>
      <c r="L8">
        <f t="shared" si="0"/>
        <v>0</v>
      </c>
      <c r="M8">
        <f t="shared" si="3"/>
        <v>0</v>
      </c>
      <c r="N8">
        <f t="shared" si="4"/>
        <v>0</v>
      </c>
      <c r="O8">
        <f t="shared" si="5"/>
        <v>0</v>
      </c>
    </row>
    <row r="9" spans="1:18" ht="18.3" x14ac:dyDescent="0.4">
      <c r="A9">
        <v>1652</v>
      </c>
      <c r="B9" t="s">
        <v>27</v>
      </c>
      <c r="C9" t="s">
        <v>11</v>
      </c>
      <c r="D9" t="s">
        <v>28</v>
      </c>
      <c r="E9" t="s">
        <v>13</v>
      </c>
      <c r="F9" t="s">
        <v>14</v>
      </c>
      <c r="G9">
        <v>100</v>
      </c>
      <c r="H9">
        <v>2</v>
      </c>
      <c r="I9" s="16">
        <f t="shared" si="1"/>
        <v>200</v>
      </c>
      <c r="J9">
        <v>0</v>
      </c>
      <c r="K9">
        <f t="shared" si="2"/>
        <v>0</v>
      </c>
      <c r="L9">
        <f t="shared" si="0"/>
        <v>2</v>
      </c>
      <c r="M9">
        <f t="shared" si="3"/>
        <v>200</v>
      </c>
      <c r="N9">
        <f t="shared" si="4"/>
        <v>50</v>
      </c>
      <c r="O9">
        <f t="shared" si="5"/>
        <v>150</v>
      </c>
      <c r="R9" s="21" t="str">
        <f>_xlfn.TEXTJOIN("  by ",TRUE,B8,C8)</f>
        <v>Arukil Miga Arukil  by Anuradha Ramanan</v>
      </c>
    </row>
    <row r="10" spans="1:18" hidden="1" x14ac:dyDescent="0.3">
      <c r="A10">
        <v>1472</v>
      </c>
      <c r="B10" t="s">
        <v>29</v>
      </c>
      <c r="C10" t="s">
        <v>11</v>
      </c>
      <c r="D10" t="s">
        <v>30</v>
      </c>
      <c r="E10" t="s">
        <v>13</v>
      </c>
      <c r="F10" t="s">
        <v>14</v>
      </c>
      <c r="G10">
        <v>90</v>
      </c>
      <c r="H10">
        <v>2</v>
      </c>
      <c r="I10" s="16">
        <f t="shared" si="1"/>
        <v>180</v>
      </c>
      <c r="J10">
        <v>2</v>
      </c>
      <c r="K10">
        <f t="shared" si="2"/>
        <v>180</v>
      </c>
      <c r="L10">
        <f t="shared" ref="L10:L73" si="7">H10-J10</f>
        <v>0</v>
      </c>
      <c r="M10">
        <f t="shared" si="3"/>
        <v>0</v>
      </c>
      <c r="N10">
        <f t="shared" si="4"/>
        <v>0</v>
      </c>
      <c r="O10">
        <f t="shared" si="5"/>
        <v>0</v>
      </c>
    </row>
    <row r="11" spans="1:18" hidden="1" x14ac:dyDescent="0.3">
      <c r="A11">
        <v>4073</v>
      </c>
      <c r="B11" t="s">
        <v>31</v>
      </c>
      <c r="C11" t="s">
        <v>11</v>
      </c>
      <c r="D11" t="s">
        <v>32</v>
      </c>
      <c r="E11" t="s">
        <v>13</v>
      </c>
      <c r="F11" t="s">
        <v>14</v>
      </c>
      <c r="G11">
        <v>210</v>
      </c>
      <c r="H11">
        <v>2</v>
      </c>
      <c r="I11" s="16">
        <f t="shared" si="1"/>
        <v>420</v>
      </c>
      <c r="J11">
        <v>2</v>
      </c>
      <c r="K11">
        <f t="shared" si="2"/>
        <v>420</v>
      </c>
      <c r="L11">
        <f t="shared" si="7"/>
        <v>0</v>
      </c>
      <c r="M11">
        <f t="shared" si="3"/>
        <v>0</v>
      </c>
      <c r="N11">
        <f t="shared" si="4"/>
        <v>0</v>
      </c>
      <c r="O11">
        <f t="shared" si="5"/>
        <v>0</v>
      </c>
    </row>
    <row r="12" spans="1:18" hidden="1" x14ac:dyDescent="0.3">
      <c r="A12">
        <v>1656</v>
      </c>
      <c r="B12" t="s">
        <v>33</v>
      </c>
      <c r="C12" t="s">
        <v>11</v>
      </c>
      <c r="D12" t="s">
        <v>34</v>
      </c>
      <c r="E12" t="s">
        <v>13</v>
      </c>
      <c r="F12" t="s">
        <v>14</v>
      </c>
      <c r="G12">
        <v>90</v>
      </c>
      <c r="H12">
        <v>2</v>
      </c>
      <c r="I12" s="16">
        <f t="shared" si="1"/>
        <v>180</v>
      </c>
      <c r="J12">
        <v>2</v>
      </c>
      <c r="K12">
        <f t="shared" si="2"/>
        <v>180</v>
      </c>
      <c r="L12">
        <f t="shared" si="7"/>
        <v>0</v>
      </c>
      <c r="M12">
        <f t="shared" si="3"/>
        <v>0</v>
      </c>
      <c r="N12">
        <f t="shared" si="4"/>
        <v>0</v>
      </c>
      <c r="O12">
        <f t="shared" si="5"/>
        <v>0</v>
      </c>
    </row>
    <row r="13" spans="1:18" hidden="1" x14ac:dyDescent="0.3">
      <c r="A13">
        <v>3949</v>
      </c>
      <c r="B13" t="s">
        <v>35</v>
      </c>
      <c r="C13" t="s">
        <v>11</v>
      </c>
      <c r="D13" t="s">
        <v>36</v>
      </c>
      <c r="E13" t="s">
        <v>13</v>
      </c>
      <c r="F13" t="s">
        <v>14</v>
      </c>
      <c r="G13">
        <v>90</v>
      </c>
      <c r="H13">
        <v>2</v>
      </c>
      <c r="I13" s="16">
        <f t="shared" si="1"/>
        <v>180</v>
      </c>
      <c r="J13">
        <v>2</v>
      </c>
      <c r="K13">
        <f t="shared" si="2"/>
        <v>180</v>
      </c>
      <c r="L13">
        <f t="shared" si="7"/>
        <v>0</v>
      </c>
      <c r="M13">
        <f t="shared" si="3"/>
        <v>0</v>
      </c>
      <c r="N13">
        <f t="shared" si="4"/>
        <v>0</v>
      </c>
      <c r="O13">
        <f t="shared" si="5"/>
        <v>0</v>
      </c>
    </row>
    <row r="14" spans="1:18" hidden="1" x14ac:dyDescent="0.3">
      <c r="A14">
        <v>1627</v>
      </c>
      <c r="B14" t="s">
        <v>37</v>
      </c>
      <c r="C14" t="s">
        <v>11</v>
      </c>
      <c r="D14" t="s">
        <v>38</v>
      </c>
      <c r="E14" t="s">
        <v>13</v>
      </c>
      <c r="F14" t="s">
        <v>39</v>
      </c>
      <c r="G14">
        <v>100</v>
      </c>
      <c r="H14">
        <v>2</v>
      </c>
      <c r="I14" s="16">
        <f t="shared" si="1"/>
        <v>200</v>
      </c>
      <c r="J14">
        <v>2</v>
      </c>
      <c r="K14">
        <f t="shared" si="2"/>
        <v>200</v>
      </c>
      <c r="L14">
        <f t="shared" si="7"/>
        <v>0</v>
      </c>
      <c r="M14">
        <f t="shared" si="3"/>
        <v>0</v>
      </c>
      <c r="N14">
        <f t="shared" si="4"/>
        <v>0</v>
      </c>
      <c r="O14">
        <f t="shared" si="5"/>
        <v>0</v>
      </c>
    </row>
    <row r="15" spans="1:18" hidden="1" x14ac:dyDescent="0.3">
      <c r="A15">
        <v>2025</v>
      </c>
      <c r="B15" t="s">
        <v>40</v>
      </c>
      <c r="C15" t="s">
        <v>11</v>
      </c>
      <c r="D15" t="s">
        <v>41</v>
      </c>
      <c r="E15" t="s">
        <v>13</v>
      </c>
      <c r="F15" t="s">
        <v>14</v>
      </c>
      <c r="G15">
        <v>100</v>
      </c>
      <c r="H15">
        <v>2</v>
      </c>
      <c r="I15" s="16">
        <f t="shared" si="1"/>
        <v>200</v>
      </c>
      <c r="J15">
        <v>2</v>
      </c>
      <c r="K15">
        <f t="shared" si="2"/>
        <v>200</v>
      </c>
      <c r="L15">
        <f t="shared" si="7"/>
        <v>0</v>
      </c>
      <c r="M15">
        <f t="shared" si="3"/>
        <v>0</v>
      </c>
      <c r="N15">
        <f t="shared" si="4"/>
        <v>0</v>
      </c>
      <c r="O15">
        <f t="shared" si="5"/>
        <v>0</v>
      </c>
    </row>
    <row r="16" spans="1:18" hidden="1" x14ac:dyDescent="0.3">
      <c r="A16">
        <v>4135</v>
      </c>
      <c r="B16" t="s">
        <v>42</v>
      </c>
      <c r="C16" t="s">
        <v>11</v>
      </c>
      <c r="D16" t="s">
        <v>43</v>
      </c>
      <c r="E16" t="s">
        <v>13</v>
      </c>
      <c r="F16" t="s">
        <v>44</v>
      </c>
      <c r="G16">
        <v>150</v>
      </c>
      <c r="H16">
        <v>2</v>
      </c>
      <c r="I16" s="16">
        <f t="shared" si="1"/>
        <v>300</v>
      </c>
      <c r="J16">
        <v>2</v>
      </c>
      <c r="K16">
        <f t="shared" si="2"/>
        <v>300</v>
      </c>
      <c r="L16">
        <f t="shared" si="7"/>
        <v>0</v>
      </c>
      <c r="M16">
        <f t="shared" si="3"/>
        <v>0</v>
      </c>
      <c r="N16">
        <f t="shared" si="4"/>
        <v>0</v>
      </c>
      <c r="O16">
        <f t="shared" si="5"/>
        <v>0</v>
      </c>
    </row>
    <row r="17" spans="1:18" ht="18.3" x14ac:dyDescent="0.4">
      <c r="A17">
        <v>7786</v>
      </c>
      <c r="B17" t="s">
        <v>45</v>
      </c>
      <c r="C17" t="s">
        <v>11</v>
      </c>
      <c r="D17" t="s">
        <v>46</v>
      </c>
      <c r="E17" t="s">
        <v>13</v>
      </c>
      <c r="F17" t="s">
        <v>14</v>
      </c>
      <c r="G17">
        <v>40</v>
      </c>
      <c r="H17">
        <v>2</v>
      </c>
      <c r="I17" s="16">
        <f t="shared" si="1"/>
        <v>80</v>
      </c>
      <c r="J17">
        <v>1</v>
      </c>
      <c r="K17">
        <f t="shared" si="2"/>
        <v>40</v>
      </c>
      <c r="L17">
        <f t="shared" si="7"/>
        <v>1</v>
      </c>
      <c r="M17">
        <f t="shared" si="3"/>
        <v>40</v>
      </c>
      <c r="N17">
        <f t="shared" si="4"/>
        <v>10</v>
      </c>
      <c r="O17">
        <f t="shared" si="5"/>
        <v>30</v>
      </c>
      <c r="R17" s="21" t="str">
        <f t="shared" ref="R17:R18" si="8">_xlfn.TEXTJOIN("  by ",TRUE,B16,C16)</f>
        <v>Kaadhoram Oru Kavithai  by Anuradha Ramanan</v>
      </c>
    </row>
    <row r="18" spans="1:18" ht="18.3" x14ac:dyDescent="0.4">
      <c r="A18">
        <v>1651</v>
      </c>
      <c r="B18" t="s">
        <v>47</v>
      </c>
      <c r="C18" t="s">
        <v>11</v>
      </c>
      <c r="D18" t="s">
        <v>48</v>
      </c>
      <c r="E18" t="s">
        <v>13</v>
      </c>
      <c r="F18" t="s">
        <v>14</v>
      </c>
      <c r="G18">
        <v>90</v>
      </c>
      <c r="H18">
        <v>2</v>
      </c>
      <c r="I18" s="16">
        <f t="shared" si="1"/>
        <v>180</v>
      </c>
      <c r="J18">
        <v>1</v>
      </c>
      <c r="K18">
        <f t="shared" si="2"/>
        <v>90</v>
      </c>
      <c r="L18">
        <f t="shared" si="7"/>
        <v>1</v>
      </c>
      <c r="M18">
        <f t="shared" si="3"/>
        <v>90</v>
      </c>
      <c r="N18">
        <f t="shared" si="4"/>
        <v>22.5</v>
      </c>
      <c r="O18">
        <f t="shared" si="5"/>
        <v>67.5</v>
      </c>
      <c r="R18" s="21" t="str">
        <f t="shared" si="8"/>
        <v>Kaala Sumai Thangi  by Anuradha Ramanan</v>
      </c>
    </row>
    <row r="19" spans="1:18" hidden="1" x14ac:dyDescent="0.3">
      <c r="A19">
        <v>4074</v>
      </c>
      <c r="B19" t="s">
        <v>49</v>
      </c>
      <c r="C19" t="s">
        <v>11</v>
      </c>
      <c r="D19" t="s">
        <v>50</v>
      </c>
      <c r="E19" t="s">
        <v>13</v>
      </c>
      <c r="F19" t="s">
        <v>44</v>
      </c>
      <c r="G19">
        <v>210</v>
      </c>
      <c r="H19">
        <v>2</v>
      </c>
      <c r="I19" s="16">
        <f t="shared" si="1"/>
        <v>420</v>
      </c>
      <c r="J19">
        <v>2</v>
      </c>
      <c r="K19">
        <f t="shared" si="2"/>
        <v>420</v>
      </c>
      <c r="L19">
        <f t="shared" si="7"/>
        <v>0</v>
      </c>
      <c r="M19">
        <f t="shared" si="3"/>
        <v>0</v>
      </c>
      <c r="N19">
        <f t="shared" si="4"/>
        <v>0</v>
      </c>
      <c r="O19">
        <f t="shared" si="5"/>
        <v>0</v>
      </c>
    </row>
    <row r="20" spans="1:18" hidden="1" x14ac:dyDescent="0.3">
      <c r="A20">
        <v>4088</v>
      </c>
      <c r="B20" t="s">
        <v>51</v>
      </c>
      <c r="C20" t="s">
        <v>11</v>
      </c>
      <c r="D20" t="s">
        <v>52</v>
      </c>
      <c r="E20" t="s">
        <v>13</v>
      </c>
      <c r="F20" t="s">
        <v>14</v>
      </c>
      <c r="G20">
        <v>110</v>
      </c>
      <c r="H20">
        <v>2</v>
      </c>
      <c r="I20" s="16">
        <f t="shared" si="1"/>
        <v>220</v>
      </c>
      <c r="J20">
        <v>2</v>
      </c>
      <c r="K20">
        <f t="shared" si="2"/>
        <v>220</v>
      </c>
      <c r="L20">
        <f t="shared" si="7"/>
        <v>0</v>
      </c>
      <c r="M20">
        <f t="shared" si="3"/>
        <v>0</v>
      </c>
      <c r="N20">
        <f t="shared" si="4"/>
        <v>0</v>
      </c>
      <c r="O20">
        <f t="shared" si="5"/>
        <v>0</v>
      </c>
    </row>
    <row r="21" spans="1:18" hidden="1" x14ac:dyDescent="0.3">
      <c r="A21">
        <v>4081</v>
      </c>
      <c r="B21" t="s">
        <v>53</v>
      </c>
      <c r="C21" t="s">
        <v>11</v>
      </c>
      <c r="D21" t="s">
        <v>54</v>
      </c>
      <c r="E21" t="s">
        <v>13</v>
      </c>
      <c r="F21" t="s">
        <v>14</v>
      </c>
      <c r="G21">
        <v>100</v>
      </c>
      <c r="H21">
        <v>2</v>
      </c>
      <c r="I21" s="16">
        <f t="shared" si="1"/>
        <v>200</v>
      </c>
      <c r="J21">
        <v>2</v>
      </c>
      <c r="K21">
        <f t="shared" si="2"/>
        <v>200</v>
      </c>
      <c r="L21">
        <f t="shared" si="7"/>
        <v>0</v>
      </c>
      <c r="M21">
        <f t="shared" si="3"/>
        <v>0</v>
      </c>
      <c r="N21">
        <f t="shared" si="4"/>
        <v>0</v>
      </c>
      <c r="O21">
        <f t="shared" si="5"/>
        <v>0</v>
      </c>
    </row>
    <row r="22" spans="1:18" hidden="1" x14ac:dyDescent="0.3">
      <c r="A22">
        <v>1408</v>
      </c>
      <c r="B22" t="s">
        <v>55</v>
      </c>
      <c r="C22" t="s">
        <v>11</v>
      </c>
      <c r="D22" t="s">
        <v>56</v>
      </c>
      <c r="E22" t="s">
        <v>13</v>
      </c>
      <c r="F22" t="s">
        <v>14</v>
      </c>
      <c r="G22">
        <v>70</v>
      </c>
      <c r="H22">
        <v>2</v>
      </c>
      <c r="I22" s="16">
        <f t="shared" si="1"/>
        <v>140</v>
      </c>
      <c r="J22">
        <v>2</v>
      </c>
      <c r="K22">
        <f t="shared" si="2"/>
        <v>140</v>
      </c>
      <c r="L22">
        <f t="shared" si="7"/>
        <v>0</v>
      </c>
      <c r="M22">
        <f t="shared" si="3"/>
        <v>0</v>
      </c>
      <c r="N22">
        <f t="shared" si="4"/>
        <v>0</v>
      </c>
      <c r="O22">
        <f t="shared" si="5"/>
        <v>0</v>
      </c>
    </row>
    <row r="23" spans="1:18" ht="18.3" x14ac:dyDescent="0.4">
      <c r="A23">
        <v>3928</v>
      </c>
      <c r="B23" t="s">
        <v>57</v>
      </c>
      <c r="C23" t="s">
        <v>11</v>
      </c>
      <c r="D23" t="s">
        <v>58</v>
      </c>
      <c r="E23" t="s">
        <v>13</v>
      </c>
      <c r="F23" t="s">
        <v>14</v>
      </c>
      <c r="G23">
        <v>110</v>
      </c>
      <c r="H23">
        <v>2</v>
      </c>
      <c r="I23" s="16">
        <f t="shared" si="1"/>
        <v>220</v>
      </c>
      <c r="J23">
        <v>0</v>
      </c>
      <c r="K23">
        <f t="shared" si="2"/>
        <v>0</v>
      </c>
      <c r="L23">
        <f t="shared" si="7"/>
        <v>2</v>
      </c>
      <c r="M23">
        <f t="shared" si="3"/>
        <v>220</v>
      </c>
      <c r="N23">
        <f t="shared" si="4"/>
        <v>55</v>
      </c>
      <c r="O23">
        <f t="shared" si="5"/>
        <v>165</v>
      </c>
      <c r="R23" s="21" t="str">
        <f t="shared" ref="R23:R26" si="9">_xlfn.TEXTJOIN("  by ",TRUE,B22,C22)</f>
        <v>Maaruthalukku Oru Hemalatha  by Anuradha Ramanan</v>
      </c>
    </row>
    <row r="24" spans="1:18" ht="18.3" x14ac:dyDescent="0.4">
      <c r="A24">
        <v>2086</v>
      </c>
      <c r="B24" t="s">
        <v>59</v>
      </c>
      <c r="C24" t="s">
        <v>11</v>
      </c>
      <c r="D24" t="s">
        <v>60</v>
      </c>
      <c r="E24" t="s">
        <v>13</v>
      </c>
      <c r="F24" t="s">
        <v>14</v>
      </c>
      <c r="G24">
        <v>100</v>
      </c>
      <c r="H24">
        <v>2</v>
      </c>
      <c r="I24" s="16">
        <f t="shared" si="1"/>
        <v>200</v>
      </c>
      <c r="J24">
        <v>1</v>
      </c>
      <c r="K24">
        <f t="shared" si="2"/>
        <v>100</v>
      </c>
      <c r="L24">
        <f t="shared" si="7"/>
        <v>1</v>
      </c>
      <c r="M24">
        <f t="shared" si="3"/>
        <v>100</v>
      </c>
      <c r="N24">
        <f t="shared" si="4"/>
        <v>25</v>
      </c>
      <c r="O24">
        <f t="shared" si="5"/>
        <v>75</v>
      </c>
      <c r="R24" s="21" t="str">
        <f t="shared" si="9"/>
        <v>Mannil Neendhum Meengal  by Anuradha Ramanan</v>
      </c>
    </row>
    <row r="25" spans="1:18" ht="18.3" x14ac:dyDescent="0.4">
      <c r="A25">
        <v>1473</v>
      </c>
      <c r="B25" t="s">
        <v>61</v>
      </c>
      <c r="C25" t="s">
        <v>11</v>
      </c>
      <c r="D25" t="s">
        <v>62</v>
      </c>
      <c r="E25" t="s">
        <v>13</v>
      </c>
      <c r="F25" t="s">
        <v>14</v>
      </c>
      <c r="G25">
        <v>110</v>
      </c>
      <c r="H25">
        <v>2</v>
      </c>
      <c r="I25" s="16">
        <f t="shared" si="1"/>
        <v>220</v>
      </c>
      <c r="J25">
        <v>0</v>
      </c>
      <c r="K25">
        <f t="shared" si="2"/>
        <v>0</v>
      </c>
      <c r="L25">
        <f t="shared" si="7"/>
        <v>2</v>
      </c>
      <c r="M25">
        <f t="shared" si="3"/>
        <v>220</v>
      </c>
      <c r="N25">
        <f t="shared" si="4"/>
        <v>55</v>
      </c>
      <c r="O25">
        <f t="shared" si="5"/>
        <v>165</v>
      </c>
      <c r="R25" s="21" t="str">
        <f t="shared" si="9"/>
        <v>Marupadiyum Malathi  by Anuradha Ramanan</v>
      </c>
    </row>
    <row r="26" spans="1:18" ht="18.3" x14ac:dyDescent="0.4">
      <c r="A26">
        <v>4858</v>
      </c>
      <c r="B26" t="s">
        <v>63</v>
      </c>
      <c r="C26" t="s">
        <v>11</v>
      </c>
      <c r="D26" t="s">
        <v>64</v>
      </c>
      <c r="E26" t="s">
        <v>13</v>
      </c>
      <c r="F26" t="s">
        <v>14</v>
      </c>
      <c r="G26">
        <v>60</v>
      </c>
      <c r="H26">
        <v>2</v>
      </c>
      <c r="I26" s="16">
        <f t="shared" si="1"/>
        <v>120</v>
      </c>
      <c r="J26">
        <v>1</v>
      </c>
      <c r="K26">
        <f t="shared" si="2"/>
        <v>60</v>
      </c>
      <c r="L26">
        <f t="shared" si="7"/>
        <v>1</v>
      </c>
      <c r="M26">
        <f t="shared" si="3"/>
        <v>60</v>
      </c>
      <c r="N26">
        <f t="shared" si="4"/>
        <v>15</v>
      </c>
      <c r="O26">
        <f t="shared" si="5"/>
        <v>45</v>
      </c>
      <c r="R26" s="21" t="str">
        <f t="shared" si="9"/>
        <v>Meeravin Kaadhal  by Anuradha Ramanan</v>
      </c>
    </row>
    <row r="27" spans="1:18" hidden="1" x14ac:dyDescent="0.3">
      <c r="A27">
        <v>1342</v>
      </c>
      <c r="B27" t="s">
        <v>65</v>
      </c>
      <c r="C27" t="s">
        <v>11</v>
      </c>
      <c r="D27" t="s">
        <v>66</v>
      </c>
      <c r="E27" t="s">
        <v>13</v>
      </c>
      <c r="F27" t="s">
        <v>44</v>
      </c>
      <c r="G27">
        <v>150</v>
      </c>
      <c r="H27">
        <v>2</v>
      </c>
      <c r="I27" s="16">
        <f t="shared" si="1"/>
        <v>300</v>
      </c>
      <c r="J27">
        <v>2</v>
      </c>
      <c r="K27">
        <f t="shared" si="2"/>
        <v>300</v>
      </c>
      <c r="L27">
        <f t="shared" si="7"/>
        <v>0</v>
      </c>
      <c r="M27">
        <f t="shared" si="3"/>
        <v>0</v>
      </c>
      <c r="N27">
        <f t="shared" si="4"/>
        <v>0</v>
      </c>
      <c r="O27">
        <f t="shared" si="5"/>
        <v>0</v>
      </c>
    </row>
    <row r="28" spans="1:18" hidden="1" x14ac:dyDescent="0.3">
      <c r="A28">
        <v>1501</v>
      </c>
      <c r="B28" t="s">
        <v>67</v>
      </c>
      <c r="C28" t="s">
        <v>11</v>
      </c>
      <c r="D28" t="s">
        <v>68</v>
      </c>
      <c r="E28" t="s">
        <v>13</v>
      </c>
      <c r="F28" t="s">
        <v>14</v>
      </c>
      <c r="G28">
        <v>80</v>
      </c>
      <c r="H28">
        <v>2</v>
      </c>
      <c r="I28" s="16">
        <f t="shared" si="1"/>
        <v>160</v>
      </c>
      <c r="J28">
        <v>2</v>
      </c>
      <c r="K28">
        <f t="shared" si="2"/>
        <v>160</v>
      </c>
      <c r="L28">
        <f t="shared" si="7"/>
        <v>0</v>
      </c>
      <c r="M28">
        <f t="shared" si="3"/>
        <v>0</v>
      </c>
      <c r="N28">
        <f t="shared" si="4"/>
        <v>0</v>
      </c>
      <c r="O28">
        <f t="shared" si="5"/>
        <v>0</v>
      </c>
    </row>
    <row r="29" spans="1:18" ht="18.3" x14ac:dyDescent="0.4">
      <c r="A29">
        <v>4087</v>
      </c>
      <c r="B29" t="s">
        <v>69</v>
      </c>
      <c r="C29" t="s">
        <v>11</v>
      </c>
      <c r="D29" t="s">
        <v>70</v>
      </c>
      <c r="E29" t="s">
        <v>13</v>
      </c>
      <c r="F29" t="s">
        <v>39</v>
      </c>
      <c r="G29">
        <v>110</v>
      </c>
      <c r="H29">
        <v>2</v>
      </c>
      <c r="I29" s="16">
        <f t="shared" si="1"/>
        <v>220</v>
      </c>
      <c r="J29">
        <v>0</v>
      </c>
      <c r="K29">
        <f t="shared" si="2"/>
        <v>0</v>
      </c>
      <c r="L29">
        <f t="shared" si="7"/>
        <v>2</v>
      </c>
      <c r="M29">
        <f t="shared" si="3"/>
        <v>220</v>
      </c>
      <c r="N29">
        <f t="shared" si="4"/>
        <v>55</v>
      </c>
      <c r="O29">
        <f t="shared" si="5"/>
        <v>165</v>
      </c>
      <c r="R29" s="21" t="str">
        <f t="shared" ref="R29:R31" si="10">_xlfn.TEXTJOIN("  by ",TRUE,B28,C28)</f>
        <v>Mouna Kanavu  by Anuradha Ramanan</v>
      </c>
    </row>
    <row r="30" spans="1:18" ht="18.3" x14ac:dyDescent="0.4">
      <c r="A30">
        <v>4086</v>
      </c>
      <c r="B30" t="s">
        <v>71</v>
      </c>
      <c r="C30" t="s">
        <v>11</v>
      </c>
      <c r="D30" t="s">
        <v>72</v>
      </c>
      <c r="E30" t="s">
        <v>13</v>
      </c>
      <c r="F30" t="s">
        <v>44</v>
      </c>
      <c r="G30">
        <v>90</v>
      </c>
      <c r="H30">
        <v>2</v>
      </c>
      <c r="I30" s="16">
        <f t="shared" si="1"/>
        <v>180</v>
      </c>
      <c r="J30">
        <v>1</v>
      </c>
      <c r="K30">
        <f t="shared" si="2"/>
        <v>90</v>
      </c>
      <c r="L30">
        <f t="shared" si="7"/>
        <v>1</v>
      </c>
      <c r="M30">
        <f t="shared" si="3"/>
        <v>90</v>
      </c>
      <c r="N30">
        <f t="shared" si="4"/>
        <v>22.5</v>
      </c>
      <c r="O30">
        <f t="shared" si="5"/>
        <v>67.5</v>
      </c>
      <c r="R30" s="21" t="str">
        <f t="shared" si="10"/>
        <v>Muthamitta Soppanangal  by Anuradha Ramanan</v>
      </c>
    </row>
    <row r="31" spans="1:18" ht="18.3" x14ac:dyDescent="0.4">
      <c r="A31">
        <v>1455</v>
      </c>
      <c r="B31" t="s">
        <v>73</v>
      </c>
      <c r="C31" t="s">
        <v>11</v>
      </c>
      <c r="D31" t="s">
        <v>74</v>
      </c>
      <c r="E31" t="s">
        <v>13</v>
      </c>
      <c r="F31" t="s">
        <v>14</v>
      </c>
      <c r="G31">
        <v>80</v>
      </c>
      <c r="H31">
        <v>2</v>
      </c>
      <c r="I31" s="16">
        <f t="shared" si="1"/>
        <v>160</v>
      </c>
      <c r="J31">
        <v>1</v>
      </c>
      <c r="K31">
        <f t="shared" si="2"/>
        <v>80</v>
      </c>
      <c r="L31">
        <f t="shared" si="7"/>
        <v>1</v>
      </c>
      <c r="M31">
        <f t="shared" si="3"/>
        <v>80</v>
      </c>
      <c r="N31">
        <f t="shared" si="4"/>
        <v>20</v>
      </c>
      <c r="O31">
        <f t="shared" si="5"/>
        <v>60</v>
      </c>
      <c r="R31" s="21" t="str">
        <f t="shared" si="10"/>
        <v>Naal Muzhukka Naadagam  by Anuradha Ramanan</v>
      </c>
    </row>
    <row r="32" spans="1:18" hidden="1" x14ac:dyDescent="0.3">
      <c r="A32">
        <v>2013</v>
      </c>
      <c r="B32" t="s">
        <v>75</v>
      </c>
      <c r="C32" t="s">
        <v>11</v>
      </c>
      <c r="D32" t="s">
        <v>76</v>
      </c>
      <c r="E32" t="s">
        <v>13</v>
      </c>
      <c r="F32" t="s">
        <v>14</v>
      </c>
      <c r="G32">
        <v>80</v>
      </c>
      <c r="H32">
        <v>2</v>
      </c>
      <c r="I32" s="16">
        <f t="shared" si="1"/>
        <v>160</v>
      </c>
      <c r="J32">
        <v>2</v>
      </c>
      <c r="K32">
        <f t="shared" si="2"/>
        <v>160</v>
      </c>
      <c r="L32">
        <f t="shared" si="7"/>
        <v>0</v>
      </c>
      <c r="M32">
        <f t="shared" si="3"/>
        <v>0</v>
      </c>
      <c r="N32">
        <f t="shared" si="4"/>
        <v>0</v>
      </c>
      <c r="O32">
        <f t="shared" si="5"/>
        <v>0</v>
      </c>
    </row>
    <row r="33" spans="1:18" ht="18.3" x14ac:dyDescent="0.4">
      <c r="A33">
        <v>1566</v>
      </c>
      <c r="B33" t="s">
        <v>77</v>
      </c>
      <c r="C33" t="s">
        <v>11</v>
      </c>
      <c r="D33" t="s">
        <v>78</v>
      </c>
      <c r="E33" t="s">
        <v>13</v>
      </c>
      <c r="F33" t="s">
        <v>14</v>
      </c>
      <c r="G33">
        <v>110</v>
      </c>
      <c r="H33">
        <v>2</v>
      </c>
      <c r="I33" s="16">
        <f t="shared" si="1"/>
        <v>220</v>
      </c>
      <c r="J33">
        <v>1</v>
      </c>
      <c r="K33">
        <f t="shared" si="2"/>
        <v>110</v>
      </c>
      <c r="L33">
        <f t="shared" si="7"/>
        <v>1</v>
      </c>
      <c r="M33">
        <f t="shared" si="3"/>
        <v>110</v>
      </c>
      <c r="N33">
        <f t="shared" si="4"/>
        <v>27.5</v>
      </c>
      <c r="O33">
        <f t="shared" si="5"/>
        <v>82.5</v>
      </c>
      <c r="R33" s="21" t="str">
        <f>_xlfn.TEXTJOIN("  by ",TRUE,B32,C32)</f>
        <v>Natchathira Iravil  by Anuradha Ramanan</v>
      </c>
    </row>
    <row r="34" spans="1:18" hidden="1" x14ac:dyDescent="0.3">
      <c r="A34">
        <v>2014</v>
      </c>
      <c r="B34" t="s">
        <v>79</v>
      </c>
      <c r="C34" t="s">
        <v>11</v>
      </c>
      <c r="D34" t="s">
        <v>80</v>
      </c>
      <c r="E34" t="s">
        <v>13</v>
      </c>
      <c r="F34" t="s">
        <v>14</v>
      </c>
      <c r="G34">
        <v>80</v>
      </c>
      <c r="H34">
        <v>2</v>
      </c>
      <c r="I34" s="16">
        <f t="shared" si="1"/>
        <v>160</v>
      </c>
      <c r="J34">
        <v>2</v>
      </c>
      <c r="K34">
        <f t="shared" si="2"/>
        <v>160</v>
      </c>
      <c r="L34">
        <f t="shared" si="7"/>
        <v>0</v>
      </c>
      <c r="M34">
        <f t="shared" si="3"/>
        <v>0</v>
      </c>
      <c r="N34">
        <f t="shared" si="4"/>
        <v>0</v>
      </c>
      <c r="O34">
        <f t="shared" si="5"/>
        <v>0</v>
      </c>
    </row>
    <row r="35" spans="1:18" ht="18.3" x14ac:dyDescent="0.4">
      <c r="A35">
        <v>1456</v>
      </c>
      <c r="B35" t="s">
        <v>81</v>
      </c>
      <c r="C35" t="s">
        <v>11</v>
      </c>
      <c r="D35" t="s">
        <v>82</v>
      </c>
      <c r="E35" t="s">
        <v>13</v>
      </c>
      <c r="F35" t="s">
        <v>14</v>
      </c>
      <c r="G35">
        <v>70</v>
      </c>
      <c r="H35">
        <v>2</v>
      </c>
      <c r="I35" s="16">
        <f t="shared" si="1"/>
        <v>140</v>
      </c>
      <c r="J35">
        <v>1</v>
      </c>
      <c r="K35">
        <f t="shared" si="2"/>
        <v>70</v>
      </c>
      <c r="L35">
        <f t="shared" si="7"/>
        <v>1</v>
      </c>
      <c r="M35">
        <f t="shared" si="3"/>
        <v>70</v>
      </c>
      <c r="N35">
        <f t="shared" si="4"/>
        <v>17.5</v>
      </c>
      <c r="O35">
        <f t="shared" si="5"/>
        <v>52.5</v>
      </c>
      <c r="R35" s="21" t="str">
        <f>_xlfn.TEXTJOIN("  by ",TRUE,B34,C34)</f>
        <v>Nila Sandhippu  by Anuradha Ramanan</v>
      </c>
    </row>
    <row r="36" spans="1:18" hidden="1" x14ac:dyDescent="0.3">
      <c r="A36">
        <v>1635</v>
      </c>
      <c r="B36" t="s">
        <v>83</v>
      </c>
      <c r="C36" t="s">
        <v>11</v>
      </c>
      <c r="D36" t="s">
        <v>84</v>
      </c>
      <c r="E36" t="s">
        <v>13</v>
      </c>
      <c r="F36" t="s">
        <v>14</v>
      </c>
      <c r="G36">
        <v>130</v>
      </c>
      <c r="H36">
        <v>2</v>
      </c>
      <c r="I36" s="16">
        <f t="shared" si="1"/>
        <v>260</v>
      </c>
      <c r="J36">
        <v>2</v>
      </c>
      <c r="K36">
        <f t="shared" si="2"/>
        <v>260</v>
      </c>
      <c r="L36">
        <f t="shared" si="7"/>
        <v>0</v>
      </c>
      <c r="M36">
        <f t="shared" si="3"/>
        <v>0</v>
      </c>
      <c r="N36">
        <f t="shared" si="4"/>
        <v>0</v>
      </c>
      <c r="O36">
        <f t="shared" si="5"/>
        <v>0</v>
      </c>
    </row>
    <row r="37" spans="1:18" ht="18.3" x14ac:dyDescent="0.4">
      <c r="A37">
        <v>2015</v>
      </c>
      <c r="B37" t="s">
        <v>85</v>
      </c>
      <c r="C37" t="s">
        <v>11</v>
      </c>
      <c r="D37" t="s">
        <v>86</v>
      </c>
      <c r="E37" t="s">
        <v>13</v>
      </c>
      <c r="F37" t="s">
        <v>14</v>
      </c>
      <c r="G37">
        <v>100</v>
      </c>
      <c r="H37">
        <v>2</v>
      </c>
      <c r="I37" s="16">
        <f t="shared" si="1"/>
        <v>200</v>
      </c>
      <c r="J37">
        <v>1</v>
      </c>
      <c r="K37">
        <f t="shared" si="2"/>
        <v>100</v>
      </c>
      <c r="L37">
        <f t="shared" si="7"/>
        <v>1</v>
      </c>
      <c r="M37">
        <f t="shared" si="3"/>
        <v>100</v>
      </c>
      <c r="N37">
        <f t="shared" si="4"/>
        <v>25</v>
      </c>
      <c r="O37">
        <f t="shared" si="5"/>
        <v>75</v>
      </c>
      <c r="R37" s="21" t="str">
        <f t="shared" ref="R37:R40" si="11">_xlfn.TEXTJOIN("  by ",TRUE,B36,C36)</f>
        <v>Oru Kodi Inbangal  by Anuradha Ramanan</v>
      </c>
    </row>
    <row r="38" spans="1:18" ht="18.3" x14ac:dyDescent="0.4">
      <c r="A38">
        <v>1435</v>
      </c>
      <c r="B38" t="s">
        <v>87</v>
      </c>
      <c r="C38" t="s">
        <v>11</v>
      </c>
      <c r="D38" t="s">
        <v>88</v>
      </c>
      <c r="E38" t="s">
        <v>13</v>
      </c>
      <c r="F38" t="s">
        <v>14</v>
      </c>
      <c r="G38">
        <v>60</v>
      </c>
      <c r="H38">
        <v>2</v>
      </c>
      <c r="I38" s="16">
        <f t="shared" si="1"/>
        <v>120</v>
      </c>
      <c r="J38">
        <v>0</v>
      </c>
      <c r="K38">
        <f t="shared" si="2"/>
        <v>0</v>
      </c>
      <c r="L38">
        <f t="shared" si="7"/>
        <v>2</v>
      </c>
      <c r="M38">
        <f t="shared" si="3"/>
        <v>120</v>
      </c>
      <c r="N38">
        <f t="shared" si="4"/>
        <v>30</v>
      </c>
      <c r="O38">
        <f t="shared" si="5"/>
        <v>90</v>
      </c>
      <c r="R38" s="21" t="str">
        <f t="shared" si="11"/>
        <v>Poisugam  by Anuradha Ramanan</v>
      </c>
    </row>
    <row r="39" spans="1:18" ht="18.3" x14ac:dyDescent="0.4">
      <c r="A39">
        <v>1465</v>
      </c>
      <c r="B39" t="s">
        <v>89</v>
      </c>
      <c r="C39" t="s">
        <v>11</v>
      </c>
      <c r="D39" t="s">
        <v>90</v>
      </c>
      <c r="E39" t="s">
        <v>13</v>
      </c>
      <c r="F39" t="s">
        <v>14</v>
      </c>
      <c r="G39">
        <v>90</v>
      </c>
      <c r="H39">
        <v>4</v>
      </c>
      <c r="I39" s="16">
        <f t="shared" si="1"/>
        <v>360</v>
      </c>
      <c r="J39">
        <v>3</v>
      </c>
      <c r="K39">
        <f t="shared" si="2"/>
        <v>270</v>
      </c>
      <c r="L39">
        <f t="shared" si="7"/>
        <v>1</v>
      </c>
      <c r="M39">
        <f t="shared" si="3"/>
        <v>90</v>
      </c>
      <c r="N39">
        <f t="shared" si="4"/>
        <v>22.5</v>
      </c>
      <c r="O39">
        <f t="shared" si="5"/>
        <v>67.5</v>
      </c>
      <c r="R39" s="21" t="str">
        <f t="shared" si="11"/>
        <v>Pookkatha Kanavugal  by Anuradha Ramanan</v>
      </c>
    </row>
    <row r="40" spans="1:18" ht="18.3" x14ac:dyDescent="0.4">
      <c r="A40">
        <v>1377</v>
      </c>
      <c r="B40" t="s">
        <v>91</v>
      </c>
      <c r="C40" t="s">
        <v>11</v>
      </c>
      <c r="D40" t="s">
        <v>92</v>
      </c>
      <c r="E40" t="s">
        <v>13</v>
      </c>
      <c r="F40" t="s">
        <v>44</v>
      </c>
      <c r="G40">
        <v>100</v>
      </c>
      <c r="H40">
        <v>4</v>
      </c>
      <c r="I40" s="16">
        <f t="shared" si="1"/>
        <v>400</v>
      </c>
      <c r="J40">
        <v>2</v>
      </c>
      <c r="K40">
        <f t="shared" si="2"/>
        <v>200</v>
      </c>
      <c r="L40">
        <f t="shared" si="7"/>
        <v>2</v>
      </c>
      <c r="M40">
        <f t="shared" si="3"/>
        <v>200</v>
      </c>
      <c r="N40">
        <f t="shared" si="4"/>
        <v>50</v>
      </c>
      <c r="O40">
        <f t="shared" si="5"/>
        <v>150</v>
      </c>
      <c r="R40" s="21" t="str">
        <f t="shared" si="11"/>
        <v>Poovodum Pottodum  by Anuradha Ramanan</v>
      </c>
    </row>
    <row r="41" spans="1:18" hidden="1" x14ac:dyDescent="0.3">
      <c r="A41">
        <v>1453</v>
      </c>
      <c r="B41" t="s">
        <v>93</v>
      </c>
      <c r="C41" t="s">
        <v>11</v>
      </c>
      <c r="D41" t="s">
        <v>94</v>
      </c>
      <c r="E41" t="s">
        <v>13</v>
      </c>
      <c r="F41" t="s">
        <v>14</v>
      </c>
      <c r="G41">
        <v>60</v>
      </c>
      <c r="H41">
        <v>2</v>
      </c>
      <c r="I41" s="16">
        <f t="shared" si="1"/>
        <v>120</v>
      </c>
      <c r="J41">
        <v>2</v>
      </c>
      <c r="K41">
        <f t="shared" si="2"/>
        <v>120</v>
      </c>
      <c r="L41">
        <f t="shared" si="7"/>
        <v>0</v>
      </c>
      <c r="M41">
        <f t="shared" si="3"/>
        <v>0</v>
      </c>
      <c r="N41">
        <f t="shared" si="4"/>
        <v>0</v>
      </c>
      <c r="O41">
        <f t="shared" si="5"/>
        <v>0</v>
      </c>
    </row>
    <row r="42" spans="1:18" hidden="1" x14ac:dyDescent="0.3">
      <c r="A42">
        <v>1571</v>
      </c>
      <c r="B42" t="s">
        <v>95</v>
      </c>
      <c r="C42" t="s">
        <v>11</v>
      </c>
      <c r="D42" t="s">
        <v>96</v>
      </c>
      <c r="E42" t="s">
        <v>13</v>
      </c>
      <c r="F42" t="s">
        <v>14</v>
      </c>
      <c r="G42">
        <v>150</v>
      </c>
      <c r="H42">
        <v>2</v>
      </c>
      <c r="I42" s="16">
        <f t="shared" si="1"/>
        <v>300</v>
      </c>
      <c r="J42">
        <v>2</v>
      </c>
      <c r="K42">
        <f t="shared" si="2"/>
        <v>300</v>
      </c>
      <c r="L42">
        <f t="shared" si="7"/>
        <v>0</v>
      </c>
      <c r="M42">
        <f t="shared" si="3"/>
        <v>0</v>
      </c>
      <c r="N42">
        <f t="shared" si="4"/>
        <v>0</v>
      </c>
      <c r="O42">
        <f t="shared" si="5"/>
        <v>0</v>
      </c>
    </row>
    <row r="43" spans="1:18" ht="18.3" x14ac:dyDescent="0.4">
      <c r="A43">
        <v>1572</v>
      </c>
      <c r="B43" t="s">
        <v>97</v>
      </c>
      <c r="C43" t="s">
        <v>11</v>
      </c>
      <c r="D43" t="s">
        <v>98</v>
      </c>
      <c r="E43" t="s">
        <v>13</v>
      </c>
      <c r="F43" t="s">
        <v>14</v>
      </c>
      <c r="G43">
        <v>140</v>
      </c>
      <c r="H43">
        <v>2</v>
      </c>
      <c r="I43" s="16">
        <f t="shared" si="1"/>
        <v>280</v>
      </c>
      <c r="J43">
        <v>1</v>
      </c>
      <c r="K43">
        <f t="shared" si="2"/>
        <v>140</v>
      </c>
      <c r="L43">
        <f t="shared" si="7"/>
        <v>1</v>
      </c>
      <c r="M43">
        <f t="shared" si="3"/>
        <v>140</v>
      </c>
      <c r="N43">
        <f t="shared" si="4"/>
        <v>35</v>
      </c>
      <c r="O43">
        <f t="shared" si="5"/>
        <v>105</v>
      </c>
      <c r="R43" s="21" t="str">
        <f>_xlfn.TEXTJOIN("  by ",TRUE,B42,C42)</f>
        <v>Ragasiyathai Sol Kiliye..!  by Anuradha Ramanan</v>
      </c>
    </row>
    <row r="44" spans="1:18" hidden="1" x14ac:dyDescent="0.3">
      <c r="A44">
        <v>4019</v>
      </c>
      <c r="B44" t="s">
        <v>99</v>
      </c>
      <c r="C44" t="s">
        <v>11</v>
      </c>
      <c r="D44" t="s">
        <v>100</v>
      </c>
      <c r="E44" t="s">
        <v>13</v>
      </c>
      <c r="F44" t="s">
        <v>14</v>
      </c>
      <c r="G44">
        <v>180</v>
      </c>
      <c r="H44">
        <v>2</v>
      </c>
      <c r="I44" s="16">
        <f t="shared" si="1"/>
        <v>360</v>
      </c>
      <c r="J44">
        <v>2</v>
      </c>
      <c r="K44">
        <f t="shared" si="2"/>
        <v>360</v>
      </c>
      <c r="L44">
        <f t="shared" si="7"/>
        <v>0</v>
      </c>
      <c r="M44">
        <f t="shared" si="3"/>
        <v>0</v>
      </c>
      <c r="N44">
        <f t="shared" si="4"/>
        <v>0</v>
      </c>
      <c r="O44">
        <f t="shared" si="5"/>
        <v>0</v>
      </c>
    </row>
    <row r="45" spans="1:18" ht="18.3" x14ac:dyDescent="0.4">
      <c r="A45">
        <v>3305</v>
      </c>
      <c r="B45" t="s">
        <v>101</v>
      </c>
      <c r="C45" t="s">
        <v>11</v>
      </c>
      <c r="D45" t="s">
        <v>102</v>
      </c>
      <c r="E45" t="s">
        <v>13</v>
      </c>
      <c r="F45" t="s">
        <v>44</v>
      </c>
      <c r="G45">
        <v>310</v>
      </c>
      <c r="H45">
        <v>4</v>
      </c>
      <c r="I45" s="16">
        <f t="shared" si="1"/>
        <v>1240</v>
      </c>
      <c r="J45">
        <v>1</v>
      </c>
      <c r="K45">
        <f t="shared" si="2"/>
        <v>310</v>
      </c>
      <c r="L45">
        <f t="shared" si="7"/>
        <v>3</v>
      </c>
      <c r="M45">
        <f t="shared" si="3"/>
        <v>930</v>
      </c>
      <c r="N45">
        <f t="shared" si="4"/>
        <v>232.5</v>
      </c>
      <c r="O45">
        <f t="shared" si="5"/>
        <v>697.5</v>
      </c>
      <c r="R45" s="21" t="str">
        <f t="shared" ref="R45:R50" si="12">_xlfn.TEXTJOIN("  by ",TRUE,B44,C44)</f>
        <v>Sonthamena Nee Irunthal…  by Anuradha Ramanan</v>
      </c>
    </row>
    <row r="46" spans="1:18" ht="18.3" x14ac:dyDescent="0.4">
      <c r="A46">
        <v>1418</v>
      </c>
      <c r="B46" t="s">
        <v>103</v>
      </c>
      <c r="C46" t="s">
        <v>11</v>
      </c>
      <c r="D46" t="s">
        <v>104</v>
      </c>
      <c r="E46" t="s">
        <v>13</v>
      </c>
      <c r="F46" t="s">
        <v>39</v>
      </c>
      <c r="G46">
        <v>70</v>
      </c>
      <c r="H46">
        <v>2</v>
      </c>
      <c r="I46" s="16">
        <f t="shared" si="1"/>
        <v>140</v>
      </c>
      <c r="J46">
        <v>1</v>
      </c>
      <c r="K46">
        <f t="shared" si="2"/>
        <v>70</v>
      </c>
      <c r="L46">
        <f t="shared" si="7"/>
        <v>1</v>
      </c>
      <c r="M46">
        <f t="shared" si="3"/>
        <v>70</v>
      </c>
      <c r="N46">
        <f t="shared" si="4"/>
        <v>17.5</v>
      </c>
      <c r="O46">
        <f t="shared" si="5"/>
        <v>52.5</v>
      </c>
      <c r="R46" s="21" t="str">
        <f t="shared" si="12"/>
        <v>Thottil Sugam  by Anuradha Ramanan</v>
      </c>
    </row>
    <row r="47" spans="1:18" ht="18.3" x14ac:dyDescent="0.4">
      <c r="A47">
        <v>1789</v>
      </c>
      <c r="B47" t="s">
        <v>105</v>
      </c>
      <c r="C47" t="s">
        <v>11</v>
      </c>
      <c r="D47" t="s">
        <v>106</v>
      </c>
      <c r="E47" t="s">
        <v>13</v>
      </c>
      <c r="F47" t="s">
        <v>14</v>
      </c>
      <c r="G47">
        <v>200</v>
      </c>
      <c r="H47">
        <v>2</v>
      </c>
      <c r="I47" s="16">
        <f t="shared" si="1"/>
        <v>400</v>
      </c>
      <c r="J47">
        <v>0</v>
      </c>
      <c r="K47">
        <f t="shared" si="2"/>
        <v>0</v>
      </c>
      <c r="L47">
        <f t="shared" si="7"/>
        <v>2</v>
      </c>
      <c r="M47">
        <f t="shared" si="3"/>
        <v>400</v>
      </c>
      <c r="N47">
        <f t="shared" si="4"/>
        <v>100</v>
      </c>
      <c r="O47">
        <f t="shared" si="5"/>
        <v>300</v>
      </c>
      <c r="R47" s="21" t="str">
        <f t="shared" si="12"/>
        <v>Ulley Mazhai  by Anuradha Ramanan</v>
      </c>
    </row>
    <row r="48" spans="1:18" ht="18.3" x14ac:dyDescent="0.4">
      <c r="A48">
        <v>2990</v>
      </c>
      <c r="B48" t="s">
        <v>107</v>
      </c>
      <c r="C48" t="s">
        <v>11</v>
      </c>
      <c r="D48" t="s">
        <v>108</v>
      </c>
      <c r="E48" t="s">
        <v>13</v>
      </c>
      <c r="F48" t="s">
        <v>14</v>
      </c>
      <c r="G48">
        <v>130</v>
      </c>
      <c r="H48">
        <v>2</v>
      </c>
      <c r="I48" s="16">
        <f t="shared" si="1"/>
        <v>260</v>
      </c>
      <c r="J48">
        <v>1</v>
      </c>
      <c r="K48">
        <f t="shared" si="2"/>
        <v>130</v>
      </c>
      <c r="L48">
        <f t="shared" si="7"/>
        <v>1</v>
      </c>
      <c r="M48">
        <f t="shared" si="3"/>
        <v>130</v>
      </c>
      <c r="N48">
        <f t="shared" si="4"/>
        <v>32.5</v>
      </c>
      <c r="O48">
        <f t="shared" si="5"/>
        <v>97.5</v>
      </c>
      <c r="R48" s="21" t="str">
        <f t="shared" si="12"/>
        <v>Uravugal  by Anuradha Ramanan</v>
      </c>
    </row>
    <row r="49" spans="1:18" ht="18.3" x14ac:dyDescent="0.4">
      <c r="A49">
        <v>1447</v>
      </c>
      <c r="B49" t="s">
        <v>109</v>
      </c>
      <c r="C49" t="s">
        <v>11</v>
      </c>
      <c r="D49" t="s">
        <v>110</v>
      </c>
      <c r="E49" t="s">
        <v>13</v>
      </c>
      <c r="F49" t="s">
        <v>14</v>
      </c>
      <c r="G49">
        <v>70</v>
      </c>
      <c r="H49">
        <v>2</v>
      </c>
      <c r="I49" s="16">
        <f t="shared" si="1"/>
        <v>140</v>
      </c>
      <c r="J49">
        <v>1</v>
      </c>
      <c r="K49">
        <f t="shared" si="2"/>
        <v>70</v>
      </c>
      <c r="L49">
        <f t="shared" si="7"/>
        <v>1</v>
      </c>
      <c r="M49">
        <f t="shared" si="3"/>
        <v>70</v>
      </c>
      <c r="N49">
        <f t="shared" si="4"/>
        <v>17.5</v>
      </c>
      <c r="O49">
        <f t="shared" si="5"/>
        <v>52.5</v>
      </c>
      <c r="R49" s="21" t="str">
        <f t="shared" si="12"/>
        <v>Uruga Marukkum Mezhuguvarthi  by Anuradha Ramanan</v>
      </c>
    </row>
    <row r="50" spans="1:18" ht="18.3" x14ac:dyDescent="0.4">
      <c r="A50">
        <v>3696</v>
      </c>
      <c r="B50" t="s">
        <v>111</v>
      </c>
      <c r="C50" t="s">
        <v>11</v>
      </c>
      <c r="D50" t="s">
        <v>112</v>
      </c>
      <c r="E50" t="s">
        <v>13</v>
      </c>
      <c r="F50" t="s">
        <v>14</v>
      </c>
      <c r="G50">
        <v>170</v>
      </c>
      <c r="H50">
        <v>2</v>
      </c>
      <c r="I50" s="16">
        <f t="shared" si="1"/>
        <v>340</v>
      </c>
      <c r="J50">
        <v>0</v>
      </c>
      <c r="K50">
        <f t="shared" si="2"/>
        <v>0</v>
      </c>
      <c r="L50">
        <f t="shared" si="7"/>
        <v>2</v>
      </c>
      <c r="M50">
        <f t="shared" si="3"/>
        <v>340</v>
      </c>
      <c r="N50">
        <f t="shared" si="4"/>
        <v>85</v>
      </c>
      <c r="O50">
        <f t="shared" si="5"/>
        <v>255</v>
      </c>
      <c r="R50" s="21" t="str">
        <f t="shared" si="12"/>
        <v>Vaadagaikku Oru Vaanavil  by Anuradha Ramanan</v>
      </c>
    </row>
    <row r="51" spans="1:18" hidden="1" x14ac:dyDescent="0.3">
      <c r="A51">
        <v>1737</v>
      </c>
      <c r="B51" t="s">
        <v>113</v>
      </c>
      <c r="C51" t="s">
        <v>114</v>
      </c>
      <c r="D51" t="s">
        <v>115</v>
      </c>
      <c r="E51" t="s">
        <v>13</v>
      </c>
      <c r="F51" t="s">
        <v>116</v>
      </c>
      <c r="G51">
        <v>110</v>
      </c>
      <c r="H51">
        <v>2</v>
      </c>
      <c r="I51" s="16">
        <f t="shared" si="1"/>
        <v>220</v>
      </c>
      <c r="J51">
        <v>2</v>
      </c>
      <c r="K51">
        <f t="shared" si="2"/>
        <v>220</v>
      </c>
      <c r="L51">
        <f t="shared" si="7"/>
        <v>0</v>
      </c>
      <c r="M51">
        <f t="shared" si="3"/>
        <v>0</v>
      </c>
      <c r="N51">
        <f t="shared" si="4"/>
        <v>0</v>
      </c>
      <c r="O51">
        <f t="shared" si="5"/>
        <v>0</v>
      </c>
    </row>
    <row r="52" spans="1:18" hidden="1" x14ac:dyDescent="0.3">
      <c r="A52">
        <v>6436</v>
      </c>
      <c r="B52" t="s">
        <v>117</v>
      </c>
      <c r="C52" t="s">
        <v>114</v>
      </c>
      <c r="D52" t="s">
        <v>118</v>
      </c>
      <c r="E52" t="s">
        <v>13</v>
      </c>
      <c r="F52" t="s">
        <v>116</v>
      </c>
      <c r="G52">
        <v>100</v>
      </c>
      <c r="H52">
        <v>2</v>
      </c>
      <c r="I52" s="16">
        <f t="shared" si="1"/>
        <v>200</v>
      </c>
      <c r="J52">
        <v>2</v>
      </c>
      <c r="K52">
        <f t="shared" si="2"/>
        <v>200</v>
      </c>
      <c r="L52">
        <f t="shared" si="7"/>
        <v>0</v>
      </c>
      <c r="M52">
        <f t="shared" si="3"/>
        <v>0</v>
      </c>
      <c r="N52">
        <f t="shared" si="4"/>
        <v>0</v>
      </c>
      <c r="O52">
        <f t="shared" si="5"/>
        <v>0</v>
      </c>
    </row>
    <row r="53" spans="1:18" hidden="1" x14ac:dyDescent="0.3">
      <c r="A53">
        <v>6386</v>
      </c>
      <c r="B53" t="s">
        <v>119</v>
      </c>
      <c r="C53" t="s">
        <v>114</v>
      </c>
      <c r="D53" t="s">
        <v>120</v>
      </c>
      <c r="E53" t="s">
        <v>13</v>
      </c>
      <c r="F53" t="s">
        <v>116</v>
      </c>
      <c r="G53">
        <v>110</v>
      </c>
      <c r="H53">
        <v>2</v>
      </c>
      <c r="I53" s="16">
        <f t="shared" si="1"/>
        <v>220</v>
      </c>
      <c r="J53">
        <v>2</v>
      </c>
      <c r="K53">
        <f t="shared" si="2"/>
        <v>220</v>
      </c>
      <c r="L53">
        <f t="shared" si="7"/>
        <v>0</v>
      </c>
      <c r="M53">
        <f t="shared" si="3"/>
        <v>0</v>
      </c>
      <c r="N53">
        <f t="shared" si="4"/>
        <v>0</v>
      </c>
      <c r="O53">
        <f t="shared" si="5"/>
        <v>0</v>
      </c>
    </row>
    <row r="54" spans="1:18" hidden="1" x14ac:dyDescent="0.3">
      <c r="A54">
        <v>1614</v>
      </c>
      <c r="B54" t="s">
        <v>121</v>
      </c>
      <c r="C54" t="s">
        <v>114</v>
      </c>
      <c r="D54" t="s">
        <v>122</v>
      </c>
      <c r="E54" t="s">
        <v>13</v>
      </c>
      <c r="F54" t="s">
        <v>123</v>
      </c>
      <c r="G54">
        <v>90</v>
      </c>
      <c r="H54">
        <v>2</v>
      </c>
      <c r="I54" s="16">
        <f t="shared" si="1"/>
        <v>180</v>
      </c>
      <c r="J54">
        <v>2</v>
      </c>
      <c r="K54">
        <f t="shared" si="2"/>
        <v>180</v>
      </c>
      <c r="L54">
        <f t="shared" si="7"/>
        <v>0</v>
      </c>
      <c r="M54">
        <f t="shared" si="3"/>
        <v>0</v>
      </c>
      <c r="N54">
        <f t="shared" si="4"/>
        <v>0</v>
      </c>
      <c r="O54">
        <f t="shared" si="5"/>
        <v>0</v>
      </c>
    </row>
    <row r="55" spans="1:18" hidden="1" x14ac:dyDescent="0.3">
      <c r="A55">
        <v>6409</v>
      </c>
      <c r="B55" t="s">
        <v>124</v>
      </c>
      <c r="C55" t="s">
        <v>114</v>
      </c>
      <c r="D55" t="s">
        <v>125</v>
      </c>
      <c r="E55" t="s">
        <v>13</v>
      </c>
      <c r="F55" t="s">
        <v>116</v>
      </c>
      <c r="G55">
        <v>80</v>
      </c>
      <c r="H55">
        <v>2</v>
      </c>
      <c r="I55" s="16">
        <f t="shared" si="1"/>
        <v>160</v>
      </c>
      <c r="J55">
        <v>2</v>
      </c>
      <c r="K55">
        <f t="shared" si="2"/>
        <v>160</v>
      </c>
      <c r="L55">
        <f t="shared" si="7"/>
        <v>0</v>
      </c>
      <c r="M55">
        <f t="shared" si="3"/>
        <v>0</v>
      </c>
      <c r="N55">
        <f t="shared" si="4"/>
        <v>0</v>
      </c>
      <c r="O55">
        <f t="shared" si="5"/>
        <v>0</v>
      </c>
    </row>
    <row r="56" spans="1:18" hidden="1" x14ac:dyDescent="0.3">
      <c r="A56">
        <v>6410</v>
      </c>
      <c r="B56" t="s">
        <v>126</v>
      </c>
      <c r="C56" t="s">
        <v>114</v>
      </c>
      <c r="D56" t="s">
        <v>127</v>
      </c>
      <c r="E56" t="s">
        <v>13</v>
      </c>
      <c r="F56" t="s">
        <v>116</v>
      </c>
      <c r="G56">
        <v>50</v>
      </c>
      <c r="H56">
        <v>2</v>
      </c>
      <c r="I56" s="16">
        <f t="shared" si="1"/>
        <v>100</v>
      </c>
      <c r="J56">
        <v>2</v>
      </c>
      <c r="K56">
        <f t="shared" si="2"/>
        <v>100</v>
      </c>
      <c r="L56">
        <f t="shared" si="7"/>
        <v>0</v>
      </c>
      <c r="M56">
        <f t="shared" si="3"/>
        <v>0</v>
      </c>
      <c r="N56">
        <f t="shared" si="4"/>
        <v>0</v>
      </c>
      <c r="O56">
        <f t="shared" si="5"/>
        <v>0</v>
      </c>
    </row>
    <row r="57" spans="1:18" hidden="1" x14ac:dyDescent="0.3">
      <c r="A57">
        <v>1580</v>
      </c>
      <c r="B57" t="s">
        <v>128</v>
      </c>
      <c r="C57" t="s">
        <v>114</v>
      </c>
      <c r="D57" t="s">
        <v>129</v>
      </c>
      <c r="E57" t="s">
        <v>13</v>
      </c>
      <c r="F57" t="s">
        <v>130</v>
      </c>
      <c r="G57">
        <v>80</v>
      </c>
      <c r="H57">
        <v>2</v>
      </c>
      <c r="I57" s="16">
        <f t="shared" si="1"/>
        <v>160</v>
      </c>
      <c r="J57">
        <v>2</v>
      </c>
      <c r="K57">
        <f t="shared" si="2"/>
        <v>160</v>
      </c>
      <c r="L57">
        <f t="shared" si="7"/>
        <v>0</v>
      </c>
      <c r="M57">
        <f t="shared" si="3"/>
        <v>0</v>
      </c>
      <c r="N57">
        <f t="shared" si="4"/>
        <v>0</v>
      </c>
      <c r="O57">
        <f t="shared" si="5"/>
        <v>0</v>
      </c>
    </row>
    <row r="58" spans="1:18" hidden="1" x14ac:dyDescent="0.3">
      <c r="A58">
        <v>1596</v>
      </c>
      <c r="B58" t="s">
        <v>131</v>
      </c>
      <c r="C58" t="s">
        <v>114</v>
      </c>
      <c r="D58" t="s">
        <v>132</v>
      </c>
      <c r="E58" t="s">
        <v>13</v>
      </c>
      <c r="F58" t="s">
        <v>14</v>
      </c>
      <c r="G58">
        <v>150</v>
      </c>
      <c r="H58">
        <v>2</v>
      </c>
      <c r="I58" s="16">
        <f t="shared" si="1"/>
        <v>300</v>
      </c>
      <c r="J58">
        <v>2</v>
      </c>
      <c r="K58">
        <f t="shared" si="2"/>
        <v>300</v>
      </c>
      <c r="L58">
        <f t="shared" si="7"/>
        <v>0</v>
      </c>
      <c r="M58">
        <f t="shared" si="3"/>
        <v>0</v>
      </c>
      <c r="N58">
        <f t="shared" si="4"/>
        <v>0</v>
      </c>
      <c r="O58">
        <f t="shared" si="5"/>
        <v>0</v>
      </c>
    </row>
    <row r="59" spans="1:18" hidden="1" x14ac:dyDescent="0.3">
      <c r="A59">
        <v>8991</v>
      </c>
      <c r="B59" t="s">
        <v>133</v>
      </c>
      <c r="C59" t="s">
        <v>134</v>
      </c>
      <c r="D59" t="s">
        <v>135</v>
      </c>
      <c r="E59" t="s">
        <v>13</v>
      </c>
      <c r="F59" t="s">
        <v>136</v>
      </c>
      <c r="G59">
        <v>220</v>
      </c>
      <c r="H59">
        <v>2</v>
      </c>
      <c r="I59" s="16">
        <f t="shared" si="1"/>
        <v>440</v>
      </c>
      <c r="J59">
        <v>2</v>
      </c>
      <c r="K59">
        <f t="shared" si="2"/>
        <v>440</v>
      </c>
      <c r="L59">
        <f t="shared" si="7"/>
        <v>0</v>
      </c>
      <c r="M59">
        <f t="shared" si="3"/>
        <v>0</v>
      </c>
      <c r="N59">
        <f t="shared" si="4"/>
        <v>0</v>
      </c>
      <c r="O59">
        <f t="shared" si="5"/>
        <v>0</v>
      </c>
    </row>
    <row r="60" spans="1:18" hidden="1" x14ac:dyDescent="0.3">
      <c r="A60">
        <v>6523</v>
      </c>
      <c r="B60" t="s">
        <v>137</v>
      </c>
      <c r="C60" t="s">
        <v>134</v>
      </c>
      <c r="D60" t="s">
        <v>138</v>
      </c>
      <c r="E60" t="s">
        <v>13</v>
      </c>
      <c r="F60" t="s">
        <v>136</v>
      </c>
      <c r="G60">
        <v>330</v>
      </c>
      <c r="H60">
        <v>2</v>
      </c>
      <c r="I60" s="16">
        <f t="shared" si="1"/>
        <v>660</v>
      </c>
      <c r="J60">
        <v>2</v>
      </c>
      <c r="K60">
        <f t="shared" si="2"/>
        <v>660</v>
      </c>
      <c r="L60">
        <f t="shared" si="7"/>
        <v>0</v>
      </c>
      <c r="M60">
        <f t="shared" si="3"/>
        <v>0</v>
      </c>
      <c r="N60">
        <f t="shared" si="4"/>
        <v>0</v>
      </c>
      <c r="O60">
        <f t="shared" si="5"/>
        <v>0</v>
      </c>
    </row>
    <row r="61" spans="1:18" ht="18.3" x14ac:dyDescent="0.4">
      <c r="A61">
        <v>6525</v>
      </c>
      <c r="B61" t="s">
        <v>139</v>
      </c>
      <c r="C61" t="s">
        <v>134</v>
      </c>
      <c r="D61" t="s">
        <v>140</v>
      </c>
      <c r="E61" t="s">
        <v>13</v>
      </c>
      <c r="F61" t="s">
        <v>136</v>
      </c>
      <c r="G61">
        <v>90</v>
      </c>
      <c r="H61">
        <v>2</v>
      </c>
      <c r="I61" s="16">
        <f t="shared" si="1"/>
        <v>180</v>
      </c>
      <c r="J61">
        <v>0</v>
      </c>
      <c r="K61">
        <f t="shared" si="2"/>
        <v>0</v>
      </c>
      <c r="L61">
        <f t="shared" si="7"/>
        <v>2</v>
      </c>
      <c r="M61">
        <f t="shared" si="3"/>
        <v>180</v>
      </c>
      <c r="N61">
        <f t="shared" si="4"/>
        <v>45</v>
      </c>
      <c r="O61">
        <f t="shared" si="5"/>
        <v>135</v>
      </c>
      <c r="R61" s="21" t="str">
        <f t="shared" ref="R61:R63" si="13">_xlfn.TEXTJOIN("  by ",TRUE,B60,C60)</f>
        <v>Aanmeega Muthukal  by Aroor R. Subramanian</v>
      </c>
    </row>
    <row r="62" spans="1:18" ht="18.3" x14ac:dyDescent="0.4">
      <c r="A62">
        <v>3328</v>
      </c>
      <c r="B62" t="s">
        <v>141</v>
      </c>
      <c r="C62" t="s">
        <v>142</v>
      </c>
      <c r="D62" t="s">
        <v>143</v>
      </c>
      <c r="E62" t="s">
        <v>13</v>
      </c>
      <c r="F62" t="s">
        <v>144</v>
      </c>
      <c r="G62">
        <v>550</v>
      </c>
      <c r="H62">
        <v>4</v>
      </c>
      <c r="I62" s="16">
        <f t="shared" si="1"/>
        <v>2200</v>
      </c>
      <c r="J62">
        <v>0</v>
      </c>
      <c r="K62">
        <f t="shared" si="2"/>
        <v>0</v>
      </c>
      <c r="L62">
        <f t="shared" si="7"/>
        <v>4</v>
      </c>
      <c r="M62">
        <f t="shared" si="3"/>
        <v>2200</v>
      </c>
      <c r="N62">
        <f t="shared" si="4"/>
        <v>550</v>
      </c>
      <c r="O62">
        <f t="shared" si="5"/>
        <v>1650</v>
      </c>
      <c r="R62" s="21" t="str">
        <f t="shared" si="13"/>
        <v>Thiruvarur Tyagesan Thirukovil  by Aroor R. Subramanian</v>
      </c>
    </row>
    <row r="63" spans="1:18" ht="18.3" x14ac:dyDescent="0.4">
      <c r="A63">
        <v>3343</v>
      </c>
      <c r="B63" t="s">
        <v>145</v>
      </c>
      <c r="C63" t="s">
        <v>142</v>
      </c>
      <c r="D63" t="s">
        <v>146</v>
      </c>
      <c r="E63" t="s">
        <v>13</v>
      </c>
      <c r="F63" t="s">
        <v>144</v>
      </c>
      <c r="G63">
        <v>600</v>
      </c>
      <c r="H63">
        <v>4</v>
      </c>
      <c r="I63" s="16">
        <f t="shared" si="1"/>
        <v>2400</v>
      </c>
      <c r="J63">
        <v>0</v>
      </c>
      <c r="K63">
        <f t="shared" si="2"/>
        <v>0</v>
      </c>
      <c r="L63">
        <f t="shared" si="7"/>
        <v>4</v>
      </c>
      <c r="M63">
        <f t="shared" si="3"/>
        <v>2400</v>
      </c>
      <c r="N63">
        <f t="shared" si="4"/>
        <v>600</v>
      </c>
      <c r="O63">
        <f t="shared" si="5"/>
        <v>1800</v>
      </c>
      <c r="R63" s="21" t="str">
        <f t="shared" si="13"/>
        <v>Appusami 80 Part 1  by Bakkiyam Ramasamy</v>
      </c>
    </row>
    <row r="64" spans="1:18" hidden="1" x14ac:dyDescent="0.3">
      <c r="A64">
        <v>3235</v>
      </c>
      <c r="B64" t="s">
        <v>147</v>
      </c>
      <c r="C64" t="s">
        <v>142</v>
      </c>
      <c r="D64" t="s">
        <v>148</v>
      </c>
      <c r="E64" t="s">
        <v>13</v>
      </c>
      <c r="F64" t="s">
        <v>144</v>
      </c>
      <c r="G64">
        <v>110</v>
      </c>
      <c r="H64">
        <v>2</v>
      </c>
      <c r="I64" s="16">
        <f t="shared" si="1"/>
        <v>220</v>
      </c>
      <c r="J64">
        <v>2</v>
      </c>
      <c r="K64">
        <f t="shared" si="2"/>
        <v>220</v>
      </c>
      <c r="L64">
        <f t="shared" si="7"/>
        <v>0</v>
      </c>
      <c r="M64">
        <f t="shared" si="3"/>
        <v>0</v>
      </c>
      <c r="N64">
        <f t="shared" si="4"/>
        <v>0</v>
      </c>
      <c r="O64">
        <f t="shared" si="5"/>
        <v>0</v>
      </c>
    </row>
    <row r="65" spans="1:18" ht="18.3" x14ac:dyDescent="0.4">
      <c r="A65">
        <v>3100</v>
      </c>
      <c r="B65" t="s">
        <v>149</v>
      </c>
      <c r="C65" t="s">
        <v>142</v>
      </c>
      <c r="D65" t="s">
        <v>150</v>
      </c>
      <c r="E65" t="s">
        <v>13</v>
      </c>
      <c r="F65" t="s">
        <v>144</v>
      </c>
      <c r="G65">
        <v>200</v>
      </c>
      <c r="H65">
        <v>2</v>
      </c>
      <c r="I65" s="16">
        <f t="shared" si="1"/>
        <v>400</v>
      </c>
      <c r="J65">
        <v>1</v>
      </c>
      <c r="K65">
        <f t="shared" si="2"/>
        <v>200</v>
      </c>
      <c r="L65">
        <f t="shared" si="7"/>
        <v>1</v>
      </c>
      <c r="M65">
        <f t="shared" si="3"/>
        <v>200</v>
      </c>
      <c r="N65">
        <f t="shared" si="4"/>
        <v>50</v>
      </c>
      <c r="O65">
        <f t="shared" si="5"/>
        <v>150</v>
      </c>
      <c r="R65" s="21" t="str">
        <f>_xlfn.TEXTJOIN("  by ",TRUE,B64,C64)</f>
        <v>Appusamiyum Bharathi Naarkaaliyum  by Bakkiyam Ramasamy</v>
      </c>
    </row>
    <row r="66" spans="1:18" hidden="1" x14ac:dyDescent="0.3">
      <c r="A66">
        <v>1581</v>
      </c>
      <c r="B66" t="s">
        <v>151</v>
      </c>
      <c r="C66" t="s">
        <v>142</v>
      </c>
      <c r="D66" t="s">
        <v>152</v>
      </c>
      <c r="E66" t="s">
        <v>13</v>
      </c>
      <c r="F66" t="s">
        <v>144</v>
      </c>
      <c r="G66">
        <v>150</v>
      </c>
      <c r="H66">
        <v>2</v>
      </c>
      <c r="I66" s="16">
        <f t="shared" si="1"/>
        <v>300</v>
      </c>
      <c r="J66">
        <v>2</v>
      </c>
      <c r="K66">
        <f t="shared" si="2"/>
        <v>300</v>
      </c>
      <c r="L66">
        <f t="shared" si="7"/>
        <v>0</v>
      </c>
      <c r="M66">
        <f t="shared" si="3"/>
        <v>0</v>
      </c>
      <c r="N66">
        <f t="shared" si="4"/>
        <v>0</v>
      </c>
      <c r="O66">
        <f t="shared" si="5"/>
        <v>0</v>
      </c>
    </row>
    <row r="67" spans="1:18" ht="18.3" x14ac:dyDescent="0.4">
      <c r="A67">
        <v>3158</v>
      </c>
      <c r="B67" t="s">
        <v>153</v>
      </c>
      <c r="C67" t="s">
        <v>142</v>
      </c>
      <c r="D67" t="s">
        <v>154</v>
      </c>
      <c r="E67" t="s">
        <v>13</v>
      </c>
      <c r="F67" t="s">
        <v>144</v>
      </c>
      <c r="G67">
        <v>170</v>
      </c>
      <c r="H67">
        <v>2</v>
      </c>
      <c r="I67" s="16">
        <f t="shared" ref="I67:I130" si="14">H67*G67</f>
        <v>340</v>
      </c>
      <c r="J67">
        <v>0</v>
      </c>
      <c r="K67">
        <f t="shared" ref="K67:K130" si="15">J67*G67</f>
        <v>0</v>
      </c>
      <c r="L67">
        <f t="shared" si="7"/>
        <v>2</v>
      </c>
      <c r="M67">
        <f t="shared" ref="M67:M130" si="16">L67*G67</f>
        <v>340</v>
      </c>
      <c r="N67">
        <f t="shared" ref="N67:N130" si="17">M67*0.25</f>
        <v>85</v>
      </c>
      <c r="O67">
        <f t="shared" ref="O67:O130" si="18">M67-N67</f>
        <v>255</v>
      </c>
      <c r="R67" s="21" t="str">
        <f t="shared" ref="R67:R70" si="19">_xlfn.TEXTJOIN("  by ",TRUE,B66,C66)</f>
        <v>August Thiyagi Appusami  by Bakkiyam Ramasamy</v>
      </c>
    </row>
    <row r="68" spans="1:18" ht="18.3" x14ac:dyDescent="0.4">
      <c r="A68">
        <v>4126</v>
      </c>
      <c r="B68" t="s">
        <v>155</v>
      </c>
      <c r="C68" t="s">
        <v>142</v>
      </c>
      <c r="D68" t="s">
        <v>156</v>
      </c>
      <c r="E68" t="s">
        <v>13</v>
      </c>
      <c r="F68" t="s">
        <v>144</v>
      </c>
      <c r="G68">
        <v>210</v>
      </c>
      <c r="H68">
        <v>2</v>
      </c>
      <c r="I68" s="16">
        <f t="shared" si="14"/>
        <v>420</v>
      </c>
      <c r="J68">
        <v>1</v>
      </c>
      <c r="K68">
        <f t="shared" si="15"/>
        <v>210</v>
      </c>
      <c r="L68">
        <f t="shared" si="7"/>
        <v>1</v>
      </c>
      <c r="M68">
        <f t="shared" si="16"/>
        <v>210</v>
      </c>
      <c r="N68">
        <f t="shared" si="17"/>
        <v>52.5</v>
      </c>
      <c r="O68">
        <f t="shared" si="18"/>
        <v>157.5</v>
      </c>
      <c r="R68" s="21" t="str">
        <f t="shared" si="19"/>
        <v>Kadakadanu padinga.. kalakalanu siringa..  by Bakkiyam Ramasamy</v>
      </c>
    </row>
    <row r="69" spans="1:18" ht="18.3" x14ac:dyDescent="0.4">
      <c r="A69">
        <v>3623</v>
      </c>
      <c r="B69" t="s">
        <v>157</v>
      </c>
      <c r="C69" t="s">
        <v>142</v>
      </c>
      <c r="D69" t="s">
        <v>158</v>
      </c>
      <c r="E69" t="s">
        <v>13</v>
      </c>
      <c r="F69" t="s">
        <v>144</v>
      </c>
      <c r="G69">
        <v>150</v>
      </c>
      <c r="H69">
        <v>2</v>
      </c>
      <c r="I69" s="16">
        <f t="shared" si="14"/>
        <v>300</v>
      </c>
      <c r="J69">
        <v>0</v>
      </c>
      <c r="K69">
        <f t="shared" si="15"/>
        <v>0</v>
      </c>
      <c r="L69">
        <f t="shared" si="7"/>
        <v>2</v>
      </c>
      <c r="M69">
        <f t="shared" si="16"/>
        <v>300</v>
      </c>
      <c r="N69">
        <f t="shared" si="17"/>
        <v>75</v>
      </c>
      <c r="O69">
        <f t="shared" si="18"/>
        <v>225</v>
      </c>
      <c r="R69" s="21" t="str">
        <f t="shared" si="19"/>
        <v>Aadhaar Attaiyum Appusamiyum  by Bakkiyam Ramasamy</v>
      </c>
    </row>
    <row r="70" spans="1:18" ht="18.3" x14ac:dyDescent="0.4">
      <c r="A70">
        <v>3153</v>
      </c>
      <c r="B70" t="s">
        <v>159</v>
      </c>
      <c r="C70" t="s">
        <v>142</v>
      </c>
      <c r="D70" t="s">
        <v>160</v>
      </c>
      <c r="E70" t="s">
        <v>13</v>
      </c>
      <c r="F70" t="s">
        <v>144</v>
      </c>
      <c r="G70">
        <v>170</v>
      </c>
      <c r="H70">
        <v>2</v>
      </c>
      <c r="I70" s="16">
        <f t="shared" si="14"/>
        <v>340</v>
      </c>
      <c r="J70">
        <v>1</v>
      </c>
      <c r="K70">
        <f t="shared" si="15"/>
        <v>170</v>
      </c>
      <c r="L70">
        <f t="shared" si="7"/>
        <v>1</v>
      </c>
      <c r="M70">
        <f t="shared" si="16"/>
        <v>170</v>
      </c>
      <c r="N70">
        <f t="shared" si="17"/>
        <v>42.5</v>
      </c>
      <c r="O70">
        <f t="shared" si="18"/>
        <v>127.5</v>
      </c>
      <c r="R70" s="21" t="str">
        <f t="shared" si="19"/>
        <v>Sila Nerangalil Sila Anubavangal Part 2  by Bakkiyam Ramasamy</v>
      </c>
    </row>
    <row r="71" spans="1:18" hidden="1" x14ac:dyDescent="0.3">
      <c r="A71">
        <v>1622</v>
      </c>
      <c r="B71" t="s">
        <v>161</v>
      </c>
      <c r="C71" t="s">
        <v>142</v>
      </c>
      <c r="D71" t="s">
        <v>162</v>
      </c>
      <c r="E71" t="s">
        <v>13</v>
      </c>
      <c r="F71" t="s">
        <v>144</v>
      </c>
      <c r="G71">
        <v>240</v>
      </c>
      <c r="H71">
        <v>2</v>
      </c>
      <c r="I71" s="16">
        <f t="shared" si="14"/>
        <v>480</v>
      </c>
      <c r="J71">
        <v>2</v>
      </c>
      <c r="K71">
        <f t="shared" si="15"/>
        <v>480</v>
      </c>
      <c r="L71">
        <f t="shared" si="7"/>
        <v>0</v>
      </c>
      <c r="M71">
        <f t="shared" si="16"/>
        <v>0</v>
      </c>
      <c r="N71">
        <f t="shared" si="17"/>
        <v>0</v>
      </c>
      <c r="O71">
        <f t="shared" si="18"/>
        <v>0</v>
      </c>
    </row>
    <row r="72" spans="1:18" ht="18.3" x14ac:dyDescent="0.4">
      <c r="A72">
        <v>3236</v>
      </c>
      <c r="B72" t="s">
        <v>163</v>
      </c>
      <c r="C72" t="s">
        <v>142</v>
      </c>
      <c r="D72" t="s">
        <v>164</v>
      </c>
      <c r="E72" t="s">
        <v>13</v>
      </c>
      <c r="F72" t="s">
        <v>144</v>
      </c>
      <c r="G72">
        <v>140</v>
      </c>
      <c r="H72">
        <v>2</v>
      </c>
      <c r="I72" s="16">
        <f t="shared" si="14"/>
        <v>280</v>
      </c>
      <c r="J72">
        <v>1</v>
      </c>
      <c r="K72">
        <f t="shared" si="15"/>
        <v>140</v>
      </c>
      <c r="L72">
        <f t="shared" si="7"/>
        <v>1</v>
      </c>
      <c r="M72">
        <f t="shared" si="16"/>
        <v>140</v>
      </c>
      <c r="N72">
        <f t="shared" si="17"/>
        <v>35</v>
      </c>
      <c r="O72">
        <f t="shared" si="18"/>
        <v>105</v>
      </c>
      <c r="R72" s="21" t="str">
        <f t="shared" ref="R72:R73" si="20">_xlfn.TEXTJOIN("  by ",TRUE,B71,C71)</f>
        <v>Appusami Padam Edukkirar  by Bakkiyam Ramasamy</v>
      </c>
    </row>
    <row r="73" spans="1:18" ht="18.3" x14ac:dyDescent="0.4">
      <c r="A73">
        <v>1840</v>
      </c>
      <c r="B73" t="s">
        <v>165</v>
      </c>
      <c r="C73" t="s">
        <v>142</v>
      </c>
      <c r="D73" t="s">
        <v>166</v>
      </c>
      <c r="E73" t="s">
        <v>13</v>
      </c>
      <c r="F73" t="s">
        <v>144</v>
      </c>
      <c r="G73">
        <v>150</v>
      </c>
      <c r="H73">
        <v>2</v>
      </c>
      <c r="I73" s="16">
        <f t="shared" si="14"/>
        <v>300</v>
      </c>
      <c r="J73">
        <v>1</v>
      </c>
      <c r="K73">
        <f t="shared" si="15"/>
        <v>150</v>
      </c>
      <c r="L73">
        <f t="shared" si="7"/>
        <v>1</v>
      </c>
      <c r="M73">
        <f t="shared" si="16"/>
        <v>150</v>
      </c>
      <c r="N73">
        <f t="shared" si="17"/>
        <v>37.5</v>
      </c>
      <c r="O73">
        <f t="shared" si="18"/>
        <v>112.5</v>
      </c>
      <c r="R73" s="21" t="str">
        <f t="shared" si="20"/>
        <v>Veerappan Kaattil Appusami!  by Bakkiyam Ramasamy</v>
      </c>
    </row>
    <row r="74" spans="1:18" hidden="1" x14ac:dyDescent="0.3">
      <c r="A74">
        <v>1991</v>
      </c>
      <c r="B74" t="s">
        <v>167</v>
      </c>
      <c r="C74" t="s">
        <v>142</v>
      </c>
      <c r="D74" t="s">
        <v>168</v>
      </c>
      <c r="E74" t="s">
        <v>13</v>
      </c>
      <c r="F74" t="s">
        <v>144</v>
      </c>
      <c r="G74">
        <v>200</v>
      </c>
      <c r="H74">
        <v>2</v>
      </c>
      <c r="I74" s="16">
        <f t="shared" si="14"/>
        <v>400</v>
      </c>
      <c r="J74">
        <v>2</v>
      </c>
      <c r="K74">
        <f t="shared" si="15"/>
        <v>400</v>
      </c>
      <c r="L74">
        <f t="shared" ref="L74:L99" si="21">H74-J74</f>
        <v>0</v>
      </c>
      <c r="M74">
        <f t="shared" si="16"/>
        <v>0</v>
      </c>
      <c r="N74">
        <f t="shared" si="17"/>
        <v>0</v>
      </c>
      <c r="O74">
        <f t="shared" si="18"/>
        <v>0</v>
      </c>
    </row>
    <row r="75" spans="1:18" ht="18.3" x14ac:dyDescent="0.4">
      <c r="A75">
        <v>3624</v>
      </c>
      <c r="B75" t="s">
        <v>169</v>
      </c>
      <c r="C75" t="s">
        <v>142</v>
      </c>
      <c r="D75" t="s">
        <v>170</v>
      </c>
      <c r="E75" t="s">
        <v>13</v>
      </c>
      <c r="F75" t="s">
        <v>144</v>
      </c>
      <c r="G75">
        <v>150</v>
      </c>
      <c r="H75">
        <v>2</v>
      </c>
      <c r="I75" s="16">
        <f t="shared" si="14"/>
        <v>300</v>
      </c>
      <c r="J75">
        <v>1</v>
      </c>
      <c r="K75">
        <f t="shared" si="15"/>
        <v>150</v>
      </c>
      <c r="L75">
        <f t="shared" si="21"/>
        <v>1</v>
      </c>
      <c r="M75">
        <f t="shared" si="16"/>
        <v>150</v>
      </c>
      <c r="N75">
        <f t="shared" si="17"/>
        <v>37.5</v>
      </c>
      <c r="O75">
        <f t="shared" si="18"/>
        <v>112.5</v>
      </c>
      <c r="R75" s="21" t="str">
        <f>_xlfn.TEXTJOIN("  by ",TRUE,B74,C74)</f>
        <v>Berovin Pinnal  by Bakkiyam Ramasamy</v>
      </c>
    </row>
    <row r="76" spans="1:18" hidden="1" x14ac:dyDescent="0.3">
      <c r="A76">
        <v>4157</v>
      </c>
      <c r="B76" t="s">
        <v>171</v>
      </c>
      <c r="C76" t="s">
        <v>142</v>
      </c>
      <c r="D76" t="s">
        <v>172</v>
      </c>
      <c r="E76" t="s">
        <v>13</v>
      </c>
      <c r="F76" t="s">
        <v>144</v>
      </c>
      <c r="G76">
        <v>140</v>
      </c>
      <c r="H76">
        <v>2</v>
      </c>
      <c r="I76" s="16">
        <f t="shared" si="14"/>
        <v>280</v>
      </c>
      <c r="J76">
        <v>2</v>
      </c>
      <c r="K76">
        <f t="shared" si="15"/>
        <v>280</v>
      </c>
      <c r="L76">
        <f t="shared" si="21"/>
        <v>0</v>
      </c>
      <c r="M76">
        <f t="shared" si="16"/>
        <v>0</v>
      </c>
      <c r="N76">
        <f t="shared" si="17"/>
        <v>0</v>
      </c>
      <c r="O76">
        <f t="shared" si="18"/>
        <v>0</v>
      </c>
    </row>
    <row r="77" spans="1:18" hidden="1" x14ac:dyDescent="0.3">
      <c r="A77">
        <v>1824</v>
      </c>
      <c r="B77" t="s">
        <v>173</v>
      </c>
      <c r="C77" t="s">
        <v>142</v>
      </c>
      <c r="D77" t="s">
        <v>174</v>
      </c>
      <c r="E77" t="s">
        <v>13</v>
      </c>
      <c r="F77" t="s">
        <v>144</v>
      </c>
      <c r="G77">
        <v>60</v>
      </c>
      <c r="H77">
        <v>2</v>
      </c>
      <c r="I77" s="16">
        <f t="shared" si="14"/>
        <v>120</v>
      </c>
      <c r="J77">
        <v>2</v>
      </c>
      <c r="K77">
        <f t="shared" si="15"/>
        <v>120</v>
      </c>
      <c r="L77">
        <f t="shared" si="21"/>
        <v>0</v>
      </c>
      <c r="M77">
        <f t="shared" si="16"/>
        <v>0</v>
      </c>
      <c r="N77">
        <f t="shared" si="17"/>
        <v>0</v>
      </c>
      <c r="O77">
        <f t="shared" si="18"/>
        <v>0</v>
      </c>
    </row>
    <row r="78" spans="1:18" ht="18.3" x14ac:dyDescent="0.4">
      <c r="A78">
        <v>3673</v>
      </c>
      <c r="B78" t="s">
        <v>175</v>
      </c>
      <c r="C78" t="s">
        <v>142</v>
      </c>
      <c r="D78" t="s">
        <v>176</v>
      </c>
      <c r="E78" t="s">
        <v>13</v>
      </c>
      <c r="F78" t="s">
        <v>144</v>
      </c>
      <c r="G78">
        <v>120</v>
      </c>
      <c r="H78">
        <v>2</v>
      </c>
      <c r="I78" s="16">
        <f t="shared" si="14"/>
        <v>240</v>
      </c>
      <c r="J78">
        <v>1</v>
      </c>
      <c r="K78">
        <f t="shared" si="15"/>
        <v>120</v>
      </c>
      <c r="L78">
        <f t="shared" si="21"/>
        <v>1</v>
      </c>
      <c r="M78">
        <f t="shared" si="16"/>
        <v>120</v>
      </c>
      <c r="N78">
        <f t="shared" si="17"/>
        <v>30</v>
      </c>
      <c r="O78">
        <f t="shared" si="18"/>
        <v>90</v>
      </c>
      <c r="R78" s="21" t="str">
        <f>_xlfn.TEXTJOIN("  by ",TRUE,B77,C77)</f>
        <v>Appusamyin Colour TV  by Bakkiyam Ramasamy</v>
      </c>
    </row>
    <row r="79" spans="1:18" hidden="1" x14ac:dyDescent="0.3">
      <c r="A79">
        <v>3679</v>
      </c>
      <c r="B79" t="s">
        <v>177</v>
      </c>
      <c r="C79" t="s">
        <v>142</v>
      </c>
      <c r="D79" t="s">
        <v>178</v>
      </c>
      <c r="E79" t="s">
        <v>13</v>
      </c>
      <c r="F79" t="s">
        <v>144</v>
      </c>
      <c r="G79">
        <v>120</v>
      </c>
      <c r="H79">
        <v>2</v>
      </c>
      <c r="I79" s="16">
        <f t="shared" si="14"/>
        <v>240</v>
      </c>
      <c r="J79">
        <v>2</v>
      </c>
      <c r="K79">
        <f t="shared" si="15"/>
        <v>240</v>
      </c>
      <c r="L79">
        <f t="shared" si="21"/>
        <v>0</v>
      </c>
      <c r="M79">
        <f t="shared" si="16"/>
        <v>0</v>
      </c>
      <c r="N79">
        <f t="shared" si="17"/>
        <v>0</v>
      </c>
      <c r="O79">
        <f t="shared" si="18"/>
        <v>0</v>
      </c>
    </row>
    <row r="80" spans="1:18" ht="18.3" x14ac:dyDescent="0.4">
      <c r="A80">
        <v>3622</v>
      </c>
      <c r="B80" t="s">
        <v>179</v>
      </c>
      <c r="C80" t="s">
        <v>142</v>
      </c>
      <c r="D80" t="s">
        <v>180</v>
      </c>
      <c r="E80" t="s">
        <v>13</v>
      </c>
      <c r="F80" t="s">
        <v>144</v>
      </c>
      <c r="G80">
        <v>160</v>
      </c>
      <c r="H80">
        <v>2</v>
      </c>
      <c r="I80" s="16">
        <f t="shared" si="14"/>
        <v>320</v>
      </c>
      <c r="J80">
        <v>0</v>
      </c>
      <c r="K80">
        <f t="shared" si="15"/>
        <v>0</v>
      </c>
      <c r="L80">
        <f t="shared" si="21"/>
        <v>2</v>
      </c>
      <c r="M80">
        <f t="shared" si="16"/>
        <v>320</v>
      </c>
      <c r="N80">
        <f t="shared" si="17"/>
        <v>80</v>
      </c>
      <c r="O80">
        <f t="shared" si="18"/>
        <v>240</v>
      </c>
      <c r="R80" s="21" t="str">
        <f>_xlfn.TEXTJOIN("  by ",TRUE,B79,C79)</f>
        <v>Appusami Seitha Kidney Thaanam  by Bakkiyam Ramasamy</v>
      </c>
    </row>
    <row r="81" spans="1:18" hidden="1" x14ac:dyDescent="0.3">
      <c r="A81">
        <v>3626</v>
      </c>
      <c r="B81" t="s">
        <v>181</v>
      </c>
      <c r="C81" t="s">
        <v>142</v>
      </c>
      <c r="D81" t="s">
        <v>182</v>
      </c>
      <c r="E81" t="s">
        <v>13</v>
      </c>
      <c r="F81" t="s">
        <v>144</v>
      </c>
      <c r="G81">
        <v>160</v>
      </c>
      <c r="H81">
        <v>2</v>
      </c>
      <c r="I81" s="16">
        <f t="shared" si="14"/>
        <v>320</v>
      </c>
      <c r="J81">
        <v>2</v>
      </c>
      <c r="K81">
        <f t="shared" si="15"/>
        <v>320</v>
      </c>
      <c r="L81">
        <f t="shared" si="21"/>
        <v>0</v>
      </c>
      <c r="M81">
        <f t="shared" si="16"/>
        <v>0</v>
      </c>
      <c r="N81">
        <f t="shared" si="17"/>
        <v>0</v>
      </c>
      <c r="O81">
        <f t="shared" si="18"/>
        <v>0</v>
      </c>
    </row>
    <row r="82" spans="1:18" ht="18.3" x14ac:dyDescent="0.4">
      <c r="A82">
        <v>3356</v>
      </c>
      <c r="B82" t="s">
        <v>183</v>
      </c>
      <c r="C82" t="s">
        <v>142</v>
      </c>
      <c r="D82" t="s">
        <v>184</v>
      </c>
      <c r="E82" t="s">
        <v>13</v>
      </c>
      <c r="F82" t="s">
        <v>144</v>
      </c>
      <c r="G82">
        <v>180</v>
      </c>
      <c r="H82">
        <v>2</v>
      </c>
      <c r="I82" s="16">
        <f t="shared" si="14"/>
        <v>360</v>
      </c>
      <c r="J82">
        <v>0</v>
      </c>
      <c r="K82">
        <f t="shared" si="15"/>
        <v>0</v>
      </c>
      <c r="L82">
        <f t="shared" si="21"/>
        <v>2</v>
      </c>
      <c r="M82">
        <f t="shared" si="16"/>
        <v>360</v>
      </c>
      <c r="N82">
        <f t="shared" si="17"/>
        <v>90</v>
      </c>
      <c r="O82">
        <f t="shared" si="18"/>
        <v>270</v>
      </c>
      <c r="R82" s="21" t="str">
        <f>_xlfn.TEXTJOIN("  by ",TRUE,B81,C81)</f>
        <v>Sila Nerangalil Sila Anubavangal Part 4  by Bakkiyam Ramasamy</v>
      </c>
    </row>
    <row r="83" spans="1:18" hidden="1" x14ac:dyDescent="0.3">
      <c r="A83">
        <v>1790</v>
      </c>
      <c r="B83" t="s">
        <v>185</v>
      </c>
      <c r="C83" t="s">
        <v>142</v>
      </c>
      <c r="D83" t="s">
        <v>186</v>
      </c>
      <c r="E83" t="s">
        <v>13</v>
      </c>
      <c r="F83" t="s">
        <v>144</v>
      </c>
      <c r="G83">
        <v>170</v>
      </c>
      <c r="H83">
        <v>2</v>
      </c>
      <c r="I83" s="16">
        <f t="shared" si="14"/>
        <v>340</v>
      </c>
      <c r="J83">
        <v>2</v>
      </c>
      <c r="K83">
        <f t="shared" si="15"/>
        <v>340</v>
      </c>
      <c r="L83">
        <f t="shared" si="21"/>
        <v>0</v>
      </c>
      <c r="M83">
        <f t="shared" si="16"/>
        <v>0</v>
      </c>
      <c r="N83">
        <f t="shared" si="17"/>
        <v>0</v>
      </c>
      <c r="O83">
        <f t="shared" si="18"/>
        <v>0</v>
      </c>
    </row>
    <row r="84" spans="1:18" hidden="1" x14ac:dyDescent="0.3">
      <c r="A84">
        <v>1792</v>
      </c>
      <c r="B84" t="s">
        <v>187</v>
      </c>
      <c r="C84" t="s">
        <v>142</v>
      </c>
      <c r="D84" t="s">
        <v>188</v>
      </c>
      <c r="E84" t="s">
        <v>13</v>
      </c>
      <c r="F84" t="s">
        <v>144</v>
      </c>
      <c r="G84">
        <v>150</v>
      </c>
      <c r="H84">
        <v>2</v>
      </c>
      <c r="I84" s="16">
        <f t="shared" si="14"/>
        <v>300</v>
      </c>
      <c r="J84">
        <v>2</v>
      </c>
      <c r="K84">
        <f t="shared" si="15"/>
        <v>300</v>
      </c>
      <c r="L84">
        <f t="shared" si="21"/>
        <v>0</v>
      </c>
      <c r="M84">
        <f t="shared" si="16"/>
        <v>0</v>
      </c>
      <c r="N84">
        <f t="shared" si="17"/>
        <v>0</v>
      </c>
      <c r="O84">
        <f t="shared" si="18"/>
        <v>0</v>
      </c>
    </row>
    <row r="85" spans="1:18" ht="18.3" x14ac:dyDescent="0.4">
      <c r="A85">
        <v>3678</v>
      </c>
      <c r="B85" t="s">
        <v>189</v>
      </c>
      <c r="C85" t="s">
        <v>142</v>
      </c>
      <c r="D85" t="s">
        <v>190</v>
      </c>
      <c r="E85" t="s">
        <v>13</v>
      </c>
      <c r="F85" t="s">
        <v>144</v>
      </c>
      <c r="G85">
        <v>220</v>
      </c>
      <c r="H85">
        <v>2</v>
      </c>
      <c r="I85" s="16">
        <f t="shared" si="14"/>
        <v>440</v>
      </c>
      <c r="J85">
        <v>0</v>
      </c>
      <c r="K85">
        <f t="shared" si="15"/>
        <v>0</v>
      </c>
      <c r="L85">
        <f t="shared" si="21"/>
        <v>2</v>
      </c>
      <c r="M85">
        <f t="shared" si="16"/>
        <v>440</v>
      </c>
      <c r="N85">
        <f t="shared" si="17"/>
        <v>110</v>
      </c>
      <c r="O85">
        <f t="shared" si="18"/>
        <v>330</v>
      </c>
      <c r="R85" s="21" t="str">
        <f>_xlfn.TEXTJOIN("  by ",TRUE,B84,C84)</f>
        <v>Appusamiyum Azhagi Pottiyum  by Bakkiyam Ramasamy</v>
      </c>
    </row>
    <row r="86" spans="1:18" hidden="1" x14ac:dyDescent="0.3">
      <c r="A86">
        <v>3044</v>
      </c>
      <c r="B86" t="s">
        <v>191</v>
      </c>
      <c r="C86" t="s">
        <v>142</v>
      </c>
      <c r="D86" t="s">
        <v>192</v>
      </c>
      <c r="E86" t="s">
        <v>13</v>
      </c>
      <c r="F86" t="s">
        <v>144</v>
      </c>
      <c r="G86">
        <v>250</v>
      </c>
      <c r="H86">
        <v>2</v>
      </c>
      <c r="I86" s="16">
        <f t="shared" si="14"/>
        <v>500</v>
      </c>
      <c r="J86">
        <v>2</v>
      </c>
      <c r="K86">
        <f t="shared" si="15"/>
        <v>500</v>
      </c>
      <c r="L86">
        <f t="shared" si="21"/>
        <v>0</v>
      </c>
      <c r="M86">
        <f t="shared" si="16"/>
        <v>0</v>
      </c>
      <c r="N86">
        <f t="shared" si="17"/>
        <v>0</v>
      </c>
      <c r="O86">
        <f t="shared" si="18"/>
        <v>0</v>
      </c>
    </row>
    <row r="87" spans="1:18" hidden="1" x14ac:dyDescent="0.3">
      <c r="A87">
        <v>3237</v>
      </c>
      <c r="B87" t="s">
        <v>193</v>
      </c>
      <c r="C87" t="s">
        <v>142</v>
      </c>
      <c r="D87" t="s">
        <v>194</v>
      </c>
      <c r="E87" t="s">
        <v>13</v>
      </c>
      <c r="F87" t="s">
        <v>144</v>
      </c>
      <c r="G87">
        <v>130</v>
      </c>
      <c r="H87">
        <v>2</v>
      </c>
      <c r="I87" s="16">
        <f t="shared" si="14"/>
        <v>260</v>
      </c>
      <c r="J87">
        <v>2</v>
      </c>
      <c r="K87">
        <f t="shared" si="15"/>
        <v>260</v>
      </c>
      <c r="L87">
        <f t="shared" si="21"/>
        <v>0</v>
      </c>
      <c r="M87">
        <f t="shared" si="16"/>
        <v>0</v>
      </c>
      <c r="N87">
        <f t="shared" si="17"/>
        <v>0</v>
      </c>
      <c r="O87">
        <f t="shared" si="18"/>
        <v>0</v>
      </c>
    </row>
    <row r="88" spans="1:18" ht="18.3" x14ac:dyDescent="0.4">
      <c r="A88">
        <v>1805</v>
      </c>
      <c r="B88" t="s">
        <v>195</v>
      </c>
      <c r="C88" t="s">
        <v>142</v>
      </c>
      <c r="D88" t="s">
        <v>196</v>
      </c>
      <c r="E88" t="s">
        <v>13</v>
      </c>
      <c r="F88" t="s">
        <v>144</v>
      </c>
      <c r="G88">
        <v>400</v>
      </c>
      <c r="H88">
        <v>2</v>
      </c>
      <c r="I88" s="16">
        <f t="shared" si="14"/>
        <v>800</v>
      </c>
      <c r="J88">
        <v>1</v>
      </c>
      <c r="K88">
        <f t="shared" si="15"/>
        <v>400</v>
      </c>
      <c r="L88">
        <f t="shared" si="21"/>
        <v>1</v>
      </c>
      <c r="M88">
        <f t="shared" si="16"/>
        <v>400</v>
      </c>
      <c r="N88">
        <f t="shared" si="17"/>
        <v>100</v>
      </c>
      <c r="O88">
        <f t="shared" si="18"/>
        <v>300</v>
      </c>
      <c r="R88" s="21" t="str">
        <f t="shared" ref="R88:R96" si="22">_xlfn.TEXTJOIN("  by ",TRUE,B87,C87)</f>
        <v>Appusamiyum Hipnotisa Poonaiyum  by Bakkiyam Ramasamy</v>
      </c>
    </row>
    <row r="89" spans="1:18" ht="18.3" x14ac:dyDescent="0.4">
      <c r="A89">
        <v>4182</v>
      </c>
      <c r="B89" t="s">
        <v>197</v>
      </c>
      <c r="C89" t="s">
        <v>142</v>
      </c>
      <c r="D89" t="s">
        <v>198</v>
      </c>
      <c r="E89" t="s">
        <v>13</v>
      </c>
      <c r="F89" t="s">
        <v>144</v>
      </c>
      <c r="G89">
        <v>160</v>
      </c>
      <c r="H89">
        <v>2</v>
      </c>
      <c r="I89" s="16">
        <f t="shared" si="14"/>
        <v>320</v>
      </c>
      <c r="J89">
        <v>0</v>
      </c>
      <c r="K89">
        <f t="shared" si="15"/>
        <v>0</v>
      </c>
      <c r="L89">
        <f t="shared" si="21"/>
        <v>2</v>
      </c>
      <c r="M89">
        <f t="shared" si="16"/>
        <v>320</v>
      </c>
      <c r="N89">
        <f t="shared" si="17"/>
        <v>80</v>
      </c>
      <c r="O89">
        <f t="shared" si="18"/>
        <v>240</v>
      </c>
      <c r="R89" s="21" t="str">
        <f t="shared" si="22"/>
        <v>Appusamiyum Africa Azhagiyum  by Bakkiyam Ramasamy</v>
      </c>
    </row>
    <row r="90" spans="1:18" ht="18.3" x14ac:dyDescent="0.4">
      <c r="A90">
        <v>3503</v>
      </c>
      <c r="B90" t="s">
        <v>199</v>
      </c>
      <c r="C90" t="s">
        <v>142</v>
      </c>
      <c r="D90" t="s">
        <v>200</v>
      </c>
      <c r="E90" t="s">
        <v>13</v>
      </c>
      <c r="F90" t="s">
        <v>144</v>
      </c>
      <c r="G90">
        <v>140</v>
      </c>
      <c r="H90">
        <v>2</v>
      </c>
      <c r="I90" s="16">
        <f t="shared" si="14"/>
        <v>280</v>
      </c>
      <c r="J90">
        <v>0</v>
      </c>
      <c r="K90">
        <f t="shared" si="15"/>
        <v>0</v>
      </c>
      <c r="L90">
        <f t="shared" si="21"/>
        <v>2</v>
      </c>
      <c r="M90">
        <f t="shared" si="16"/>
        <v>280</v>
      </c>
      <c r="N90">
        <f t="shared" si="17"/>
        <v>70</v>
      </c>
      <c r="O90">
        <f t="shared" si="18"/>
        <v>210</v>
      </c>
      <c r="R90" s="21" t="str">
        <f t="shared" si="22"/>
        <v>Appusami Virumbiya Arputha Kattalaigal  by Bakkiyam Ramasamy</v>
      </c>
    </row>
    <row r="91" spans="1:18" ht="18.3" x14ac:dyDescent="0.4">
      <c r="A91">
        <v>4137</v>
      </c>
      <c r="B91" t="s">
        <v>201</v>
      </c>
      <c r="C91" t="s">
        <v>142</v>
      </c>
      <c r="D91" t="s">
        <v>202</v>
      </c>
      <c r="E91" t="s">
        <v>13</v>
      </c>
      <c r="F91" t="s">
        <v>144</v>
      </c>
      <c r="G91">
        <v>170</v>
      </c>
      <c r="H91">
        <v>2</v>
      </c>
      <c r="I91" s="16">
        <f t="shared" si="14"/>
        <v>340</v>
      </c>
      <c r="J91">
        <v>0</v>
      </c>
      <c r="K91">
        <f t="shared" si="15"/>
        <v>0</v>
      </c>
      <c r="L91">
        <f t="shared" si="21"/>
        <v>2</v>
      </c>
      <c r="M91">
        <f t="shared" si="16"/>
        <v>340</v>
      </c>
      <c r="N91">
        <f t="shared" si="17"/>
        <v>85</v>
      </c>
      <c r="O91">
        <f t="shared" si="18"/>
        <v>255</v>
      </c>
      <c r="R91" s="21" t="str">
        <f t="shared" si="22"/>
        <v>Dabbaji Bansleyudan Appusami  by Bakkiyam Ramasamy</v>
      </c>
    </row>
    <row r="92" spans="1:18" ht="18.3" x14ac:dyDescent="0.4">
      <c r="A92">
        <v>1867</v>
      </c>
      <c r="B92" t="s">
        <v>203</v>
      </c>
      <c r="C92" t="s">
        <v>142</v>
      </c>
      <c r="D92" t="s">
        <v>204</v>
      </c>
      <c r="E92" t="s">
        <v>13</v>
      </c>
      <c r="F92" t="s">
        <v>144</v>
      </c>
      <c r="G92">
        <v>320</v>
      </c>
      <c r="H92">
        <v>2</v>
      </c>
      <c r="I92" s="16">
        <f t="shared" si="14"/>
        <v>640</v>
      </c>
      <c r="J92">
        <v>0</v>
      </c>
      <c r="K92">
        <f t="shared" si="15"/>
        <v>0</v>
      </c>
      <c r="L92">
        <f t="shared" si="21"/>
        <v>2</v>
      </c>
      <c r="M92">
        <f t="shared" si="16"/>
        <v>640</v>
      </c>
      <c r="N92">
        <f t="shared" si="17"/>
        <v>160</v>
      </c>
      <c r="O92">
        <f t="shared" si="18"/>
        <v>480</v>
      </c>
      <c r="R92" s="21" t="str">
        <f t="shared" si="22"/>
        <v>Appusamiya? Sirippu Samiya?  by Bakkiyam Ramasamy</v>
      </c>
    </row>
    <row r="93" spans="1:18" ht="18.3" x14ac:dyDescent="0.4">
      <c r="A93">
        <v>3238</v>
      </c>
      <c r="B93" t="s">
        <v>205</v>
      </c>
      <c r="C93" t="s">
        <v>142</v>
      </c>
      <c r="D93" t="s">
        <v>206</v>
      </c>
      <c r="E93" t="s">
        <v>13</v>
      </c>
      <c r="F93" t="s">
        <v>144</v>
      </c>
      <c r="G93">
        <v>190</v>
      </c>
      <c r="H93">
        <v>2</v>
      </c>
      <c r="I93" s="16">
        <f t="shared" si="14"/>
        <v>380</v>
      </c>
      <c r="J93">
        <v>0</v>
      </c>
      <c r="K93">
        <f t="shared" si="15"/>
        <v>0</v>
      </c>
      <c r="L93">
        <f t="shared" si="21"/>
        <v>2</v>
      </c>
      <c r="M93">
        <f t="shared" si="16"/>
        <v>380</v>
      </c>
      <c r="N93">
        <f t="shared" si="17"/>
        <v>95</v>
      </c>
      <c r="O93">
        <f t="shared" si="18"/>
        <v>285</v>
      </c>
      <c r="R93" s="21" t="str">
        <f t="shared" si="22"/>
        <v>Aayirathoru Appusamy Iravugal  by Bakkiyam Ramasamy</v>
      </c>
    </row>
    <row r="94" spans="1:18" ht="18.3" x14ac:dyDescent="0.4">
      <c r="A94">
        <v>1829</v>
      </c>
      <c r="B94" t="s">
        <v>207</v>
      </c>
      <c r="C94" t="s">
        <v>142</v>
      </c>
      <c r="D94" t="s">
        <v>208</v>
      </c>
      <c r="E94" t="s">
        <v>13</v>
      </c>
      <c r="F94" t="s">
        <v>144</v>
      </c>
      <c r="G94">
        <v>140</v>
      </c>
      <c r="H94">
        <v>2</v>
      </c>
      <c r="I94" s="16">
        <f t="shared" si="14"/>
        <v>280</v>
      </c>
      <c r="J94">
        <v>0</v>
      </c>
      <c r="K94">
        <f t="shared" si="15"/>
        <v>0</v>
      </c>
      <c r="L94">
        <f t="shared" si="21"/>
        <v>2</v>
      </c>
      <c r="M94">
        <f t="shared" si="16"/>
        <v>280</v>
      </c>
      <c r="N94">
        <f t="shared" si="17"/>
        <v>70</v>
      </c>
      <c r="O94">
        <f t="shared" si="18"/>
        <v>210</v>
      </c>
      <c r="R94" s="21" t="str">
        <f t="shared" si="22"/>
        <v>Appusamiyin Thaali Bakkiyam  by Bakkiyam Ramasamy</v>
      </c>
    </row>
    <row r="95" spans="1:18" ht="18.3" x14ac:dyDescent="0.4">
      <c r="A95">
        <v>1791</v>
      </c>
      <c r="B95" t="s">
        <v>209</v>
      </c>
      <c r="C95" t="s">
        <v>142</v>
      </c>
      <c r="D95" t="s">
        <v>210</v>
      </c>
      <c r="E95" t="s">
        <v>13</v>
      </c>
      <c r="F95" t="s">
        <v>144</v>
      </c>
      <c r="G95">
        <v>180</v>
      </c>
      <c r="H95">
        <v>2</v>
      </c>
      <c r="I95" s="16">
        <f t="shared" si="14"/>
        <v>360</v>
      </c>
      <c r="J95">
        <v>1</v>
      </c>
      <c r="K95">
        <f t="shared" si="15"/>
        <v>180</v>
      </c>
      <c r="L95">
        <f t="shared" si="21"/>
        <v>1</v>
      </c>
      <c r="M95">
        <f t="shared" si="16"/>
        <v>180</v>
      </c>
      <c r="N95">
        <f t="shared" si="17"/>
        <v>45</v>
      </c>
      <c r="O95">
        <f t="shared" si="18"/>
        <v>135</v>
      </c>
      <c r="R95" s="21" t="str">
        <f t="shared" si="22"/>
        <v>Appusami Paritchai Ezhuthukirar!  by Bakkiyam Ramasamy</v>
      </c>
    </row>
    <row r="96" spans="1:18" ht="18.3" x14ac:dyDescent="0.4">
      <c r="A96">
        <v>3176</v>
      </c>
      <c r="B96" t="s">
        <v>211</v>
      </c>
      <c r="C96" t="s">
        <v>142</v>
      </c>
      <c r="D96" t="s">
        <v>212</v>
      </c>
      <c r="E96" t="s">
        <v>13</v>
      </c>
      <c r="F96" t="s">
        <v>144</v>
      </c>
      <c r="G96">
        <v>110</v>
      </c>
      <c r="H96">
        <v>2</v>
      </c>
      <c r="I96" s="16">
        <f t="shared" si="14"/>
        <v>220</v>
      </c>
      <c r="J96">
        <v>1</v>
      </c>
      <c r="K96">
        <f t="shared" si="15"/>
        <v>110</v>
      </c>
      <c r="L96">
        <f t="shared" si="21"/>
        <v>1</v>
      </c>
      <c r="M96">
        <f t="shared" si="16"/>
        <v>110</v>
      </c>
      <c r="N96">
        <f t="shared" si="17"/>
        <v>27.5</v>
      </c>
      <c r="O96">
        <f t="shared" si="18"/>
        <v>82.5</v>
      </c>
      <c r="R96" s="21" t="str">
        <f t="shared" si="22"/>
        <v>Come on! Appusami! Come on!  by Bakkiyam Ramasamy</v>
      </c>
    </row>
    <row r="97" spans="1:18" hidden="1" x14ac:dyDescent="0.3">
      <c r="A97">
        <v>1950</v>
      </c>
      <c r="B97" t="s">
        <v>213</v>
      </c>
      <c r="C97" t="s">
        <v>142</v>
      </c>
      <c r="D97" t="s">
        <v>214</v>
      </c>
      <c r="E97" t="s">
        <v>13</v>
      </c>
      <c r="F97" t="s">
        <v>144</v>
      </c>
      <c r="G97">
        <v>260</v>
      </c>
      <c r="H97">
        <v>2</v>
      </c>
      <c r="I97" s="16">
        <f t="shared" si="14"/>
        <v>520</v>
      </c>
      <c r="J97">
        <v>2</v>
      </c>
      <c r="K97">
        <f t="shared" si="15"/>
        <v>520</v>
      </c>
      <c r="L97">
        <f t="shared" si="21"/>
        <v>0</v>
      </c>
      <c r="M97">
        <f t="shared" si="16"/>
        <v>0</v>
      </c>
      <c r="N97">
        <f t="shared" si="17"/>
        <v>0</v>
      </c>
      <c r="O97">
        <f t="shared" si="18"/>
        <v>0</v>
      </c>
    </row>
    <row r="98" spans="1:18" hidden="1" x14ac:dyDescent="0.3">
      <c r="A98">
        <v>3098</v>
      </c>
      <c r="B98" t="s">
        <v>215</v>
      </c>
      <c r="C98" t="s">
        <v>142</v>
      </c>
      <c r="D98" t="s">
        <v>216</v>
      </c>
      <c r="E98" t="s">
        <v>13</v>
      </c>
      <c r="F98" t="s">
        <v>144</v>
      </c>
      <c r="G98">
        <v>90</v>
      </c>
      <c r="H98">
        <v>2</v>
      </c>
      <c r="I98" s="16">
        <f t="shared" si="14"/>
        <v>180</v>
      </c>
      <c r="J98">
        <v>2</v>
      </c>
      <c r="K98">
        <f t="shared" si="15"/>
        <v>180</v>
      </c>
      <c r="L98">
        <f t="shared" si="21"/>
        <v>0</v>
      </c>
      <c r="M98">
        <f t="shared" si="16"/>
        <v>0</v>
      </c>
      <c r="N98">
        <f t="shared" si="17"/>
        <v>0</v>
      </c>
      <c r="O98">
        <f t="shared" si="18"/>
        <v>0</v>
      </c>
    </row>
    <row r="99" spans="1:18" ht="18.3" x14ac:dyDescent="0.4">
      <c r="A99">
        <v>4184</v>
      </c>
      <c r="B99" t="s">
        <v>217</v>
      </c>
      <c r="C99" t="s">
        <v>142</v>
      </c>
      <c r="D99" t="s">
        <v>218</v>
      </c>
      <c r="E99" t="s">
        <v>13</v>
      </c>
      <c r="F99" t="s">
        <v>144</v>
      </c>
      <c r="G99">
        <v>240</v>
      </c>
      <c r="H99">
        <v>2</v>
      </c>
      <c r="I99" s="16">
        <f t="shared" si="14"/>
        <v>480</v>
      </c>
      <c r="J99">
        <v>1</v>
      </c>
      <c r="K99">
        <f t="shared" si="15"/>
        <v>240</v>
      </c>
      <c r="L99">
        <f t="shared" si="21"/>
        <v>1</v>
      </c>
      <c r="M99">
        <f t="shared" si="16"/>
        <v>240</v>
      </c>
      <c r="N99">
        <f t="shared" si="17"/>
        <v>60</v>
      </c>
      <c r="O99">
        <f t="shared" si="18"/>
        <v>180</v>
      </c>
      <c r="R99" s="21" t="str">
        <f>_xlfn.TEXTJOIN("  by ",TRUE,B98,C98)</f>
        <v>Bits(saa)  by Bakkiyam Ramasamy</v>
      </c>
    </row>
    <row r="100" spans="1:18" hidden="1" x14ac:dyDescent="0.3">
      <c r="A100">
        <v>4448</v>
      </c>
      <c r="B100" t="s">
        <v>219</v>
      </c>
      <c r="C100" t="s">
        <v>142</v>
      </c>
      <c r="D100" t="s">
        <v>220</v>
      </c>
      <c r="E100" t="s">
        <v>13</v>
      </c>
      <c r="F100" t="s">
        <v>144</v>
      </c>
      <c r="G100">
        <v>130</v>
      </c>
      <c r="H100">
        <v>2</v>
      </c>
      <c r="I100" s="16">
        <f t="shared" si="14"/>
        <v>260</v>
      </c>
      <c r="J100">
        <v>2</v>
      </c>
      <c r="K100">
        <f t="shared" si="15"/>
        <v>260</v>
      </c>
      <c r="L100">
        <f t="shared" ref="L100:L163" si="23">H100-J100</f>
        <v>0</v>
      </c>
      <c r="M100">
        <f t="shared" si="16"/>
        <v>0</v>
      </c>
      <c r="N100">
        <f t="shared" si="17"/>
        <v>0</v>
      </c>
      <c r="O100">
        <f t="shared" si="18"/>
        <v>0</v>
      </c>
    </row>
    <row r="101" spans="1:18" ht="18.3" x14ac:dyDescent="0.4">
      <c r="A101">
        <v>8471</v>
      </c>
      <c r="B101" t="s">
        <v>221</v>
      </c>
      <c r="C101" t="s">
        <v>222</v>
      </c>
      <c r="D101" t="s">
        <v>223</v>
      </c>
      <c r="E101" t="s">
        <v>13</v>
      </c>
      <c r="F101" t="s">
        <v>44</v>
      </c>
      <c r="G101">
        <v>190</v>
      </c>
      <c r="H101">
        <v>12</v>
      </c>
      <c r="I101" s="16">
        <f t="shared" si="14"/>
        <v>2280</v>
      </c>
      <c r="J101">
        <v>0</v>
      </c>
      <c r="K101">
        <f t="shared" si="15"/>
        <v>0</v>
      </c>
      <c r="L101">
        <f t="shared" si="23"/>
        <v>12</v>
      </c>
      <c r="M101">
        <f t="shared" si="16"/>
        <v>2280</v>
      </c>
      <c r="N101">
        <f t="shared" si="17"/>
        <v>570</v>
      </c>
      <c r="O101">
        <f t="shared" si="18"/>
        <v>1710</v>
      </c>
      <c r="R101" s="21" t="str">
        <f t="shared" ref="R101:R106" si="24">_xlfn.TEXTJOIN("  by ",TRUE,B100,C100)</f>
        <v>Marumagal Rajyathil...  by Bakkiyam Ramasamy</v>
      </c>
    </row>
    <row r="102" spans="1:18" ht="18.3" x14ac:dyDescent="0.4">
      <c r="A102">
        <v>3379</v>
      </c>
      <c r="B102" t="s">
        <v>224</v>
      </c>
      <c r="C102" t="s">
        <v>222</v>
      </c>
      <c r="D102" t="s">
        <v>225</v>
      </c>
      <c r="E102" t="s">
        <v>13</v>
      </c>
      <c r="F102" t="s">
        <v>44</v>
      </c>
      <c r="G102">
        <v>120</v>
      </c>
      <c r="H102">
        <v>12</v>
      </c>
      <c r="I102" s="16">
        <f t="shared" si="14"/>
        <v>1440</v>
      </c>
      <c r="J102">
        <v>0</v>
      </c>
      <c r="K102">
        <f t="shared" si="15"/>
        <v>0</v>
      </c>
      <c r="L102">
        <f t="shared" si="23"/>
        <v>12</v>
      </c>
      <c r="M102">
        <f t="shared" si="16"/>
        <v>1440</v>
      </c>
      <c r="N102">
        <f t="shared" si="17"/>
        <v>360</v>
      </c>
      <c r="O102">
        <f t="shared" si="18"/>
        <v>1080</v>
      </c>
      <c r="R102" s="21" t="str">
        <f t="shared" si="24"/>
        <v>Siragai Viri, Para!  by Bharathi Baskar</v>
      </c>
    </row>
    <row r="103" spans="1:18" ht="18.3" x14ac:dyDescent="0.4">
      <c r="A103">
        <v>2047</v>
      </c>
      <c r="B103" t="s">
        <v>226</v>
      </c>
      <c r="C103" t="s">
        <v>222</v>
      </c>
      <c r="D103" t="s">
        <v>227</v>
      </c>
      <c r="E103" t="s">
        <v>13</v>
      </c>
      <c r="F103" t="s">
        <v>44</v>
      </c>
      <c r="G103">
        <v>80</v>
      </c>
      <c r="H103">
        <v>12</v>
      </c>
      <c r="I103" s="16">
        <f t="shared" si="14"/>
        <v>960</v>
      </c>
      <c r="J103">
        <v>4</v>
      </c>
      <c r="K103">
        <f t="shared" si="15"/>
        <v>320</v>
      </c>
      <c r="L103">
        <f t="shared" si="23"/>
        <v>8</v>
      </c>
      <c r="M103">
        <f t="shared" si="16"/>
        <v>640</v>
      </c>
      <c r="N103">
        <f t="shared" si="17"/>
        <v>160</v>
      </c>
      <c r="O103">
        <f t="shared" si="18"/>
        <v>480</v>
      </c>
      <c r="R103" s="21" t="str">
        <f t="shared" si="24"/>
        <v>Nee Nadhi Pola Odikondiru...  by Bharathi Baskar</v>
      </c>
    </row>
    <row r="104" spans="1:18" ht="18.3" x14ac:dyDescent="0.4">
      <c r="A104">
        <v>8476</v>
      </c>
      <c r="B104" t="s">
        <v>228</v>
      </c>
      <c r="C104" t="s">
        <v>222</v>
      </c>
      <c r="D104" t="s">
        <v>229</v>
      </c>
      <c r="E104" t="s">
        <v>13</v>
      </c>
      <c r="F104" t="s">
        <v>44</v>
      </c>
      <c r="G104">
        <v>200</v>
      </c>
      <c r="H104">
        <v>12</v>
      </c>
      <c r="I104" s="16">
        <f t="shared" si="14"/>
        <v>2400</v>
      </c>
      <c r="J104">
        <v>8</v>
      </c>
      <c r="K104">
        <f t="shared" si="15"/>
        <v>1600</v>
      </c>
      <c r="L104">
        <f t="shared" si="23"/>
        <v>4</v>
      </c>
      <c r="M104">
        <f t="shared" si="16"/>
        <v>800</v>
      </c>
      <c r="N104">
        <f t="shared" si="17"/>
        <v>200</v>
      </c>
      <c r="O104">
        <f t="shared" si="18"/>
        <v>600</v>
      </c>
      <c r="R104" s="21" t="str">
        <f t="shared" si="24"/>
        <v>Appa Ennum Villan  by Bharathi Baskar</v>
      </c>
    </row>
    <row r="105" spans="1:18" ht="18.3" x14ac:dyDescent="0.4">
      <c r="A105">
        <v>8420</v>
      </c>
      <c r="B105" t="s">
        <v>230</v>
      </c>
      <c r="C105" t="s">
        <v>222</v>
      </c>
      <c r="D105" t="s">
        <v>231</v>
      </c>
      <c r="E105" t="s">
        <v>13</v>
      </c>
      <c r="F105" t="s">
        <v>44</v>
      </c>
      <c r="G105">
        <v>170</v>
      </c>
      <c r="H105">
        <v>12</v>
      </c>
      <c r="I105" s="16">
        <f t="shared" si="14"/>
        <v>2040</v>
      </c>
      <c r="J105">
        <v>0</v>
      </c>
      <c r="K105">
        <f t="shared" si="15"/>
        <v>0</v>
      </c>
      <c r="L105">
        <f t="shared" si="23"/>
        <v>12</v>
      </c>
      <c r="M105">
        <f t="shared" si="16"/>
        <v>2040</v>
      </c>
      <c r="N105">
        <f t="shared" si="17"/>
        <v>510</v>
      </c>
      <c r="O105">
        <f t="shared" si="18"/>
        <v>1530</v>
      </c>
      <c r="R105" s="21" t="str">
        <f t="shared" si="24"/>
        <v>Mudhal Kural  by Bharathi Baskar</v>
      </c>
    </row>
    <row r="106" spans="1:18" ht="18.3" x14ac:dyDescent="0.4">
      <c r="A106">
        <v>7446</v>
      </c>
      <c r="B106" t="s">
        <v>232</v>
      </c>
      <c r="C106" t="s">
        <v>222</v>
      </c>
      <c r="D106" t="s">
        <v>233</v>
      </c>
      <c r="E106" t="s">
        <v>13</v>
      </c>
      <c r="F106" t="s">
        <v>44</v>
      </c>
      <c r="G106">
        <v>150</v>
      </c>
      <c r="H106">
        <v>12</v>
      </c>
      <c r="I106" s="16">
        <f t="shared" si="14"/>
        <v>1800</v>
      </c>
      <c r="J106">
        <v>2</v>
      </c>
      <c r="K106">
        <f t="shared" si="15"/>
        <v>300</v>
      </c>
      <c r="L106">
        <f t="shared" si="23"/>
        <v>10</v>
      </c>
      <c r="M106">
        <f t="shared" si="16"/>
        <v>1500</v>
      </c>
      <c r="N106">
        <f t="shared" si="17"/>
        <v>375</v>
      </c>
      <c r="O106">
        <f t="shared" si="18"/>
        <v>1125</v>
      </c>
      <c r="R106" s="21" t="str">
        <f t="shared" si="24"/>
        <v>Sila Paathaigal... Sila Payanangal...  by Bharathi Baskar</v>
      </c>
    </row>
    <row r="107" spans="1:18" hidden="1" x14ac:dyDescent="0.3">
      <c r="A107">
        <v>1682</v>
      </c>
      <c r="B107" t="s">
        <v>234</v>
      </c>
      <c r="C107" t="s">
        <v>235</v>
      </c>
      <c r="D107" t="s">
        <v>236</v>
      </c>
      <c r="E107" t="s">
        <v>13</v>
      </c>
      <c r="F107" t="s">
        <v>136</v>
      </c>
      <c r="G107">
        <v>90</v>
      </c>
      <c r="H107">
        <v>2</v>
      </c>
      <c r="I107" s="16">
        <f t="shared" si="14"/>
        <v>180</v>
      </c>
      <c r="J107">
        <v>2</v>
      </c>
      <c r="K107">
        <f t="shared" si="15"/>
        <v>180</v>
      </c>
      <c r="L107">
        <f t="shared" si="23"/>
        <v>0</v>
      </c>
      <c r="M107">
        <f t="shared" si="16"/>
        <v>0</v>
      </c>
      <c r="N107">
        <f t="shared" si="17"/>
        <v>0</v>
      </c>
      <c r="O107">
        <f t="shared" si="18"/>
        <v>0</v>
      </c>
    </row>
    <row r="108" spans="1:18" hidden="1" x14ac:dyDescent="0.3">
      <c r="A108">
        <v>4235</v>
      </c>
      <c r="B108" t="s">
        <v>237</v>
      </c>
      <c r="C108" t="s">
        <v>238</v>
      </c>
      <c r="D108" t="s">
        <v>239</v>
      </c>
      <c r="E108" t="s">
        <v>13</v>
      </c>
      <c r="F108" t="s">
        <v>144</v>
      </c>
      <c r="G108">
        <v>200</v>
      </c>
      <c r="H108">
        <v>2</v>
      </c>
      <c r="I108" s="16">
        <f t="shared" si="14"/>
        <v>400</v>
      </c>
      <c r="J108">
        <v>2</v>
      </c>
      <c r="K108">
        <f t="shared" si="15"/>
        <v>400</v>
      </c>
      <c r="L108">
        <f t="shared" si="23"/>
        <v>0</v>
      </c>
      <c r="M108">
        <f t="shared" si="16"/>
        <v>0</v>
      </c>
      <c r="N108">
        <f t="shared" si="17"/>
        <v>0</v>
      </c>
      <c r="O108">
        <f t="shared" si="18"/>
        <v>0</v>
      </c>
    </row>
    <row r="109" spans="1:18" hidden="1" x14ac:dyDescent="0.3">
      <c r="A109">
        <v>4913</v>
      </c>
      <c r="B109" t="s">
        <v>240</v>
      </c>
      <c r="C109" t="s">
        <v>238</v>
      </c>
      <c r="D109" t="s">
        <v>241</v>
      </c>
      <c r="E109" t="s">
        <v>13</v>
      </c>
      <c r="F109" t="s">
        <v>123</v>
      </c>
      <c r="G109">
        <v>350</v>
      </c>
      <c r="H109">
        <v>2</v>
      </c>
      <c r="I109" s="16">
        <f t="shared" si="14"/>
        <v>700</v>
      </c>
      <c r="J109">
        <v>2</v>
      </c>
      <c r="K109">
        <f t="shared" si="15"/>
        <v>700</v>
      </c>
      <c r="L109">
        <f t="shared" si="23"/>
        <v>0</v>
      </c>
      <c r="M109">
        <f t="shared" si="16"/>
        <v>0</v>
      </c>
      <c r="N109">
        <f t="shared" si="17"/>
        <v>0</v>
      </c>
      <c r="O109">
        <f t="shared" si="18"/>
        <v>0</v>
      </c>
    </row>
    <row r="110" spans="1:18" hidden="1" x14ac:dyDescent="0.3">
      <c r="A110">
        <v>4976</v>
      </c>
      <c r="B110" t="s">
        <v>242</v>
      </c>
      <c r="C110" t="s">
        <v>238</v>
      </c>
      <c r="D110" t="s">
        <v>243</v>
      </c>
      <c r="E110" t="s">
        <v>13</v>
      </c>
      <c r="F110" t="s">
        <v>123</v>
      </c>
      <c r="G110">
        <v>370</v>
      </c>
      <c r="H110">
        <v>2</v>
      </c>
      <c r="I110" s="16">
        <f t="shared" si="14"/>
        <v>740</v>
      </c>
      <c r="J110">
        <v>2</v>
      </c>
      <c r="K110">
        <f t="shared" si="15"/>
        <v>740</v>
      </c>
      <c r="L110">
        <f t="shared" si="23"/>
        <v>0</v>
      </c>
      <c r="M110">
        <f t="shared" si="16"/>
        <v>0</v>
      </c>
      <c r="N110">
        <f t="shared" si="17"/>
        <v>0</v>
      </c>
      <c r="O110">
        <f t="shared" si="18"/>
        <v>0</v>
      </c>
    </row>
    <row r="111" spans="1:18" ht="18.3" x14ac:dyDescent="0.4">
      <c r="A111">
        <v>4189</v>
      </c>
      <c r="B111" t="s">
        <v>244</v>
      </c>
      <c r="C111" t="s">
        <v>238</v>
      </c>
      <c r="D111" t="s">
        <v>245</v>
      </c>
      <c r="E111" t="s">
        <v>13</v>
      </c>
      <c r="F111" t="s">
        <v>44</v>
      </c>
      <c r="G111">
        <v>710</v>
      </c>
      <c r="H111">
        <v>2</v>
      </c>
      <c r="I111" s="16">
        <f t="shared" si="14"/>
        <v>1420</v>
      </c>
      <c r="J111">
        <v>1</v>
      </c>
      <c r="K111">
        <f t="shared" si="15"/>
        <v>710</v>
      </c>
      <c r="L111">
        <f t="shared" si="23"/>
        <v>1</v>
      </c>
      <c r="M111">
        <f t="shared" si="16"/>
        <v>710</v>
      </c>
      <c r="N111">
        <f t="shared" si="17"/>
        <v>177.5</v>
      </c>
      <c r="O111">
        <f t="shared" si="18"/>
        <v>532.5</v>
      </c>
      <c r="R111" s="21" t="str">
        <f t="shared" ref="R111:R113" si="25">_xlfn.TEXTJOIN("  by ",TRUE,B110,C110)</f>
        <v>C.I.D Chandru Part - 2  by Devan</v>
      </c>
    </row>
    <row r="112" spans="1:18" ht="18.3" x14ac:dyDescent="0.4">
      <c r="A112">
        <v>4186</v>
      </c>
      <c r="B112" t="s">
        <v>246</v>
      </c>
      <c r="C112" t="s">
        <v>238</v>
      </c>
      <c r="D112" t="s">
        <v>247</v>
      </c>
      <c r="E112" t="s">
        <v>13</v>
      </c>
      <c r="F112" t="s">
        <v>44</v>
      </c>
      <c r="G112">
        <v>780</v>
      </c>
      <c r="H112">
        <v>2</v>
      </c>
      <c r="I112" s="16">
        <f t="shared" si="14"/>
        <v>1560</v>
      </c>
      <c r="J112">
        <v>1</v>
      </c>
      <c r="K112">
        <f t="shared" si="15"/>
        <v>780</v>
      </c>
      <c r="L112">
        <f t="shared" si="23"/>
        <v>1</v>
      </c>
      <c r="M112">
        <f t="shared" si="16"/>
        <v>780</v>
      </c>
      <c r="N112">
        <f t="shared" si="17"/>
        <v>195</v>
      </c>
      <c r="O112">
        <f t="shared" si="18"/>
        <v>585</v>
      </c>
      <c r="R112" s="21" t="str">
        <f t="shared" si="25"/>
        <v>Justice Jaganathan  by Devan</v>
      </c>
    </row>
    <row r="113" spans="1:18" ht="18.3" x14ac:dyDescent="0.4">
      <c r="A113">
        <v>9154</v>
      </c>
      <c r="B113" t="s">
        <v>248</v>
      </c>
      <c r="C113" t="s">
        <v>238</v>
      </c>
      <c r="D113" t="s">
        <v>249</v>
      </c>
      <c r="E113" t="s">
        <v>13</v>
      </c>
      <c r="F113" t="s">
        <v>44</v>
      </c>
      <c r="G113">
        <v>230</v>
      </c>
      <c r="H113">
        <v>2</v>
      </c>
      <c r="I113" s="16">
        <f t="shared" si="14"/>
        <v>460</v>
      </c>
      <c r="J113">
        <v>1</v>
      </c>
      <c r="K113">
        <f t="shared" si="15"/>
        <v>230</v>
      </c>
      <c r="L113">
        <f t="shared" si="23"/>
        <v>1</v>
      </c>
      <c r="M113">
        <f t="shared" si="16"/>
        <v>230</v>
      </c>
      <c r="N113">
        <f t="shared" si="17"/>
        <v>57.5</v>
      </c>
      <c r="O113">
        <f t="shared" si="18"/>
        <v>172.5</v>
      </c>
      <c r="R113" s="21" t="str">
        <f t="shared" si="25"/>
        <v>Mr. Vedantham  by Devan</v>
      </c>
    </row>
    <row r="114" spans="1:18" hidden="1" x14ac:dyDescent="0.3">
      <c r="A114">
        <v>9150</v>
      </c>
      <c r="B114" t="s">
        <v>250</v>
      </c>
      <c r="C114" t="s">
        <v>238</v>
      </c>
      <c r="D114" t="s">
        <v>251</v>
      </c>
      <c r="E114" t="s">
        <v>13</v>
      </c>
      <c r="F114" t="s">
        <v>44</v>
      </c>
      <c r="G114">
        <v>170</v>
      </c>
      <c r="H114">
        <v>2</v>
      </c>
      <c r="I114" s="16">
        <f t="shared" si="14"/>
        <v>340</v>
      </c>
      <c r="J114">
        <v>2</v>
      </c>
      <c r="K114">
        <f t="shared" si="15"/>
        <v>340</v>
      </c>
      <c r="L114">
        <f t="shared" si="23"/>
        <v>0</v>
      </c>
      <c r="M114">
        <f t="shared" si="16"/>
        <v>0</v>
      </c>
      <c r="N114">
        <f t="shared" si="17"/>
        <v>0</v>
      </c>
      <c r="O114">
        <f t="shared" si="18"/>
        <v>0</v>
      </c>
    </row>
    <row r="115" spans="1:18" hidden="1" x14ac:dyDescent="0.3">
      <c r="A115">
        <v>4193</v>
      </c>
      <c r="B115" t="s">
        <v>252</v>
      </c>
      <c r="C115" t="s">
        <v>238</v>
      </c>
      <c r="D115" t="s">
        <v>253</v>
      </c>
      <c r="E115" t="s">
        <v>13</v>
      </c>
      <c r="F115" t="s">
        <v>144</v>
      </c>
      <c r="G115">
        <v>260</v>
      </c>
      <c r="H115">
        <v>2</v>
      </c>
      <c r="I115" s="16">
        <f t="shared" si="14"/>
        <v>520</v>
      </c>
      <c r="J115">
        <v>2</v>
      </c>
      <c r="K115">
        <f t="shared" si="15"/>
        <v>520</v>
      </c>
      <c r="L115">
        <f t="shared" si="23"/>
        <v>0</v>
      </c>
      <c r="M115">
        <f t="shared" si="16"/>
        <v>0</v>
      </c>
      <c r="N115">
        <f t="shared" si="17"/>
        <v>0</v>
      </c>
      <c r="O115">
        <f t="shared" si="18"/>
        <v>0</v>
      </c>
    </row>
    <row r="116" spans="1:18" hidden="1" x14ac:dyDescent="0.3">
      <c r="A116">
        <v>9155</v>
      </c>
      <c r="B116" t="s">
        <v>254</v>
      </c>
      <c r="C116" t="s">
        <v>238</v>
      </c>
      <c r="D116" t="s">
        <v>255</v>
      </c>
      <c r="E116" t="s">
        <v>13</v>
      </c>
      <c r="F116" t="s">
        <v>44</v>
      </c>
      <c r="G116">
        <v>240</v>
      </c>
      <c r="H116">
        <v>2</v>
      </c>
      <c r="I116" s="16">
        <f t="shared" si="14"/>
        <v>480</v>
      </c>
      <c r="J116">
        <v>2</v>
      </c>
      <c r="K116">
        <f t="shared" si="15"/>
        <v>480</v>
      </c>
      <c r="L116">
        <f t="shared" si="23"/>
        <v>0</v>
      </c>
      <c r="M116">
        <f t="shared" si="16"/>
        <v>0</v>
      </c>
      <c r="N116">
        <f t="shared" si="17"/>
        <v>0</v>
      </c>
      <c r="O116">
        <f t="shared" si="18"/>
        <v>0</v>
      </c>
    </row>
    <row r="117" spans="1:18" hidden="1" x14ac:dyDescent="0.3">
      <c r="A117">
        <v>4187</v>
      </c>
      <c r="B117" t="s">
        <v>256</v>
      </c>
      <c r="C117" t="s">
        <v>238</v>
      </c>
      <c r="D117" t="s">
        <v>257</v>
      </c>
      <c r="E117" t="s">
        <v>13</v>
      </c>
      <c r="F117" t="s">
        <v>144</v>
      </c>
      <c r="G117">
        <v>250</v>
      </c>
      <c r="H117">
        <v>2</v>
      </c>
      <c r="I117" s="16">
        <f t="shared" si="14"/>
        <v>500</v>
      </c>
      <c r="J117">
        <v>2</v>
      </c>
      <c r="K117">
        <f t="shared" si="15"/>
        <v>500</v>
      </c>
      <c r="L117">
        <f t="shared" si="23"/>
        <v>0</v>
      </c>
      <c r="M117">
        <f t="shared" si="16"/>
        <v>0</v>
      </c>
      <c r="N117">
        <f t="shared" si="17"/>
        <v>0</v>
      </c>
      <c r="O117">
        <f t="shared" si="18"/>
        <v>0</v>
      </c>
    </row>
    <row r="118" spans="1:18" hidden="1" x14ac:dyDescent="0.3">
      <c r="A118">
        <v>4949</v>
      </c>
      <c r="B118" t="s">
        <v>258</v>
      </c>
      <c r="C118" t="s">
        <v>238</v>
      </c>
      <c r="D118" t="s">
        <v>259</v>
      </c>
      <c r="E118" t="s">
        <v>13</v>
      </c>
      <c r="F118" t="s">
        <v>144</v>
      </c>
      <c r="G118">
        <v>190</v>
      </c>
      <c r="H118">
        <v>2</v>
      </c>
      <c r="I118" s="16">
        <f t="shared" si="14"/>
        <v>380</v>
      </c>
      <c r="J118">
        <v>2</v>
      </c>
      <c r="K118">
        <f t="shared" si="15"/>
        <v>380</v>
      </c>
      <c r="L118">
        <f t="shared" si="23"/>
        <v>0</v>
      </c>
      <c r="M118">
        <f t="shared" si="16"/>
        <v>0</v>
      </c>
      <c r="N118">
        <f t="shared" si="17"/>
        <v>0</v>
      </c>
      <c r="O118">
        <f t="shared" si="18"/>
        <v>0</v>
      </c>
    </row>
    <row r="119" spans="1:18" hidden="1" x14ac:dyDescent="0.3">
      <c r="A119">
        <v>4136</v>
      </c>
      <c r="B119" t="s">
        <v>260</v>
      </c>
      <c r="C119" t="s">
        <v>238</v>
      </c>
      <c r="D119" t="s">
        <v>261</v>
      </c>
      <c r="E119" t="s">
        <v>13</v>
      </c>
      <c r="F119" t="s">
        <v>144</v>
      </c>
      <c r="G119">
        <v>190</v>
      </c>
      <c r="H119">
        <v>2</v>
      </c>
      <c r="I119" s="16">
        <f t="shared" si="14"/>
        <v>380</v>
      </c>
      <c r="J119">
        <v>2</v>
      </c>
      <c r="K119">
        <f t="shared" si="15"/>
        <v>380</v>
      </c>
      <c r="L119">
        <f t="shared" si="23"/>
        <v>0</v>
      </c>
      <c r="M119">
        <f t="shared" si="16"/>
        <v>0</v>
      </c>
      <c r="N119">
        <f t="shared" si="17"/>
        <v>0</v>
      </c>
      <c r="O119">
        <f t="shared" si="18"/>
        <v>0</v>
      </c>
    </row>
    <row r="120" spans="1:18" hidden="1" x14ac:dyDescent="0.3">
      <c r="A120">
        <v>4399</v>
      </c>
      <c r="B120" t="s">
        <v>262</v>
      </c>
      <c r="C120" t="s">
        <v>238</v>
      </c>
      <c r="D120" t="s">
        <v>263</v>
      </c>
      <c r="E120" t="s">
        <v>13</v>
      </c>
      <c r="F120" t="s">
        <v>14</v>
      </c>
      <c r="G120">
        <v>360</v>
      </c>
      <c r="H120">
        <v>2</v>
      </c>
      <c r="I120" s="16">
        <f t="shared" si="14"/>
        <v>720</v>
      </c>
      <c r="J120">
        <v>2</v>
      </c>
      <c r="K120">
        <f t="shared" si="15"/>
        <v>720</v>
      </c>
      <c r="L120">
        <f t="shared" si="23"/>
        <v>0</v>
      </c>
      <c r="M120">
        <f t="shared" si="16"/>
        <v>0</v>
      </c>
      <c r="N120">
        <f t="shared" si="17"/>
        <v>0</v>
      </c>
      <c r="O120">
        <f t="shared" si="18"/>
        <v>0</v>
      </c>
    </row>
    <row r="121" spans="1:18" hidden="1" x14ac:dyDescent="0.3">
      <c r="A121">
        <v>4185</v>
      </c>
      <c r="B121" t="s">
        <v>264</v>
      </c>
      <c r="C121" t="s">
        <v>238</v>
      </c>
      <c r="D121" t="s">
        <v>265</v>
      </c>
      <c r="E121" t="s">
        <v>13</v>
      </c>
      <c r="F121" t="s">
        <v>144</v>
      </c>
      <c r="G121">
        <v>640</v>
      </c>
      <c r="H121">
        <v>2</v>
      </c>
      <c r="I121" s="16">
        <f t="shared" si="14"/>
        <v>1280</v>
      </c>
      <c r="J121">
        <v>2</v>
      </c>
      <c r="K121">
        <f t="shared" si="15"/>
        <v>1280</v>
      </c>
      <c r="L121">
        <f t="shared" si="23"/>
        <v>0</v>
      </c>
      <c r="M121">
        <f t="shared" si="16"/>
        <v>0</v>
      </c>
      <c r="N121">
        <f t="shared" si="17"/>
        <v>0</v>
      </c>
      <c r="O121">
        <f t="shared" si="18"/>
        <v>0</v>
      </c>
    </row>
    <row r="122" spans="1:18" hidden="1" x14ac:dyDescent="0.3">
      <c r="B122" t="s">
        <v>266</v>
      </c>
      <c r="C122" t="s">
        <v>238</v>
      </c>
      <c r="D122" t="s">
        <v>267</v>
      </c>
      <c r="E122" t="s">
        <v>13</v>
      </c>
      <c r="F122" t="s">
        <v>14</v>
      </c>
      <c r="G122">
        <v>900</v>
      </c>
      <c r="H122">
        <v>2</v>
      </c>
      <c r="I122" s="16">
        <f t="shared" si="14"/>
        <v>1800</v>
      </c>
      <c r="J122">
        <v>2</v>
      </c>
      <c r="K122">
        <f t="shared" si="15"/>
        <v>1800</v>
      </c>
      <c r="L122">
        <f t="shared" si="23"/>
        <v>0</v>
      </c>
      <c r="M122">
        <f t="shared" si="16"/>
        <v>0</v>
      </c>
      <c r="N122">
        <f t="shared" si="17"/>
        <v>0</v>
      </c>
      <c r="O122">
        <f t="shared" si="18"/>
        <v>0</v>
      </c>
    </row>
    <row r="123" spans="1:18" ht="18.3" x14ac:dyDescent="0.4">
      <c r="B123" t="s">
        <v>268</v>
      </c>
      <c r="C123" t="s">
        <v>238</v>
      </c>
      <c r="D123" t="s">
        <v>269</v>
      </c>
      <c r="E123" t="s">
        <v>13</v>
      </c>
      <c r="F123" t="s">
        <v>14</v>
      </c>
      <c r="G123">
        <v>370</v>
      </c>
      <c r="H123">
        <v>2</v>
      </c>
      <c r="I123" s="16">
        <f t="shared" si="14"/>
        <v>740</v>
      </c>
      <c r="J123">
        <v>0</v>
      </c>
      <c r="K123">
        <f t="shared" si="15"/>
        <v>0</v>
      </c>
      <c r="L123">
        <f t="shared" si="23"/>
        <v>2</v>
      </c>
      <c r="M123">
        <f t="shared" si="16"/>
        <v>740</v>
      </c>
      <c r="N123">
        <f t="shared" si="17"/>
        <v>185</v>
      </c>
      <c r="O123">
        <f t="shared" si="18"/>
        <v>555</v>
      </c>
      <c r="R123" s="21" t="str">
        <f>_xlfn.TEXTJOIN("  by ",TRUE,B122,C122)</f>
        <v>Lakshmi Kadatcham  by Devan</v>
      </c>
    </row>
    <row r="124" spans="1:18" hidden="1" x14ac:dyDescent="0.3">
      <c r="A124">
        <v>4264</v>
      </c>
      <c r="B124" t="s">
        <v>270</v>
      </c>
      <c r="C124" t="s">
        <v>271</v>
      </c>
      <c r="D124" t="s">
        <v>272</v>
      </c>
      <c r="E124" t="s">
        <v>13</v>
      </c>
      <c r="F124" t="s">
        <v>44</v>
      </c>
      <c r="G124">
        <v>120</v>
      </c>
      <c r="H124">
        <v>2</v>
      </c>
      <c r="I124" s="16">
        <f t="shared" si="14"/>
        <v>240</v>
      </c>
      <c r="J124">
        <v>2</v>
      </c>
      <c r="K124">
        <f t="shared" si="15"/>
        <v>240</v>
      </c>
      <c r="L124">
        <f t="shared" si="23"/>
        <v>0</v>
      </c>
      <c r="M124">
        <f t="shared" si="16"/>
        <v>0</v>
      </c>
      <c r="N124">
        <f t="shared" si="17"/>
        <v>0</v>
      </c>
      <c r="O124">
        <f t="shared" si="18"/>
        <v>0</v>
      </c>
    </row>
    <row r="125" spans="1:18" hidden="1" x14ac:dyDescent="0.3">
      <c r="A125">
        <v>169</v>
      </c>
      <c r="B125" t="s">
        <v>273</v>
      </c>
      <c r="C125" t="s">
        <v>271</v>
      </c>
      <c r="D125" t="s">
        <v>274</v>
      </c>
      <c r="E125" t="s">
        <v>13</v>
      </c>
      <c r="F125" t="s">
        <v>14</v>
      </c>
      <c r="G125">
        <v>200</v>
      </c>
      <c r="H125">
        <v>2</v>
      </c>
      <c r="I125" s="16">
        <f t="shared" si="14"/>
        <v>400</v>
      </c>
      <c r="J125">
        <v>2</v>
      </c>
      <c r="K125">
        <f t="shared" si="15"/>
        <v>400</v>
      </c>
      <c r="L125">
        <f t="shared" si="23"/>
        <v>0</v>
      </c>
      <c r="M125">
        <f t="shared" si="16"/>
        <v>0</v>
      </c>
      <c r="N125">
        <f t="shared" si="17"/>
        <v>0</v>
      </c>
      <c r="O125">
        <f t="shared" si="18"/>
        <v>0</v>
      </c>
    </row>
    <row r="126" spans="1:18" hidden="1" x14ac:dyDescent="0.3">
      <c r="A126">
        <v>9613</v>
      </c>
      <c r="B126" t="s">
        <v>275</v>
      </c>
      <c r="C126" t="s">
        <v>271</v>
      </c>
      <c r="D126" t="s">
        <v>276</v>
      </c>
      <c r="E126" t="s">
        <v>13</v>
      </c>
      <c r="F126" t="s">
        <v>14</v>
      </c>
      <c r="G126">
        <v>110</v>
      </c>
      <c r="H126">
        <v>2</v>
      </c>
      <c r="I126" s="16">
        <f t="shared" si="14"/>
        <v>220</v>
      </c>
      <c r="J126">
        <v>2</v>
      </c>
      <c r="K126">
        <f t="shared" si="15"/>
        <v>220</v>
      </c>
      <c r="L126">
        <f t="shared" si="23"/>
        <v>0</v>
      </c>
      <c r="M126">
        <f t="shared" si="16"/>
        <v>0</v>
      </c>
      <c r="N126">
        <f t="shared" si="17"/>
        <v>0</v>
      </c>
      <c r="O126">
        <f t="shared" si="18"/>
        <v>0</v>
      </c>
    </row>
    <row r="127" spans="1:18" hidden="1" x14ac:dyDescent="0.3">
      <c r="A127">
        <v>4793</v>
      </c>
      <c r="B127" t="s">
        <v>277</v>
      </c>
      <c r="C127" t="s">
        <v>271</v>
      </c>
      <c r="D127" t="s">
        <v>278</v>
      </c>
      <c r="E127" t="s">
        <v>13</v>
      </c>
      <c r="F127" t="s">
        <v>14</v>
      </c>
      <c r="G127">
        <v>100</v>
      </c>
      <c r="H127">
        <v>2</v>
      </c>
      <c r="I127" s="16">
        <f t="shared" si="14"/>
        <v>200</v>
      </c>
      <c r="J127">
        <v>2</v>
      </c>
      <c r="K127">
        <f t="shared" si="15"/>
        <v>200</v>
      </c>
      <c r="L127">
        <f t="shared" si="23"/>
        <v>0</v>
      </c>
      <c r="M127">
        <f t="shared" si="16"/>
        <v>0</v>
      </c>
      <c r="N127">
        <f t="shared" si="17"/>
        <v>0</v>
      </c>
      <c r="O127">
        <f t="shared" si="18"/>
        <v>0</v>
      </c>
    </row>
    <row r="128" spans="1:18" ht="18.3" x14ac:dyDescent="0.4">
      <c r="A128">
        <v>6560</v>
      </c>
      <c r="B128" t="s">
        <v>279</v>
      </c>
      <c r="C128" t="s">
        <v>271</v>
      </c>
      <c r="D128" t="s">
        <v>280</v>
      </c>
      <c r="E128" t="s">
        <v>13</v>
      </c>
      <c r="F128" t="s">
        <v>14</v>
      </c>
      <c r="G128">
        <v>140</v>
      </c>
      <c r="H128">
        <v>2</v>
      </c>
      <c r="I128" s="16">
        <f t="shared" si="14"/>
        <v>280</v>
      </c>
      <c r="J128">
        <v>1</v>
      </c>
      <c r="K128">
        <f t="shared" si="15"/>
        <v>140</v>
      </c>
      <c r="L128">
        <f t="shared" si="23"/>
        <v>1</v>
      </c>
      <c r="M128">
        <f t="shared" si="16"/>
        <v>140</v>
      </c>
      <c r="N128">
        <f t="shared" si="17"/>
        <v>35</v>
      </c>
      <c r="O128">
        <f t="shared" si="18"/>
        <v>105</v>
      </c>
      <c r="R128" s="21" t="str">
        <f>_xlfn.TEXTJOIN("  by ",TRUE,B127,C127)</f>
        <v>Amma Gondu…!  by Devibala</v>
      </c>
    </row>
    <row r="129" spans="1:18" hidden="1" x14ac:dyDescent="0.3">
      <c r="A129">
        <v>8135</v>
      </c>
      <c r="B129" t="s">
        <v>281</v>
      </c>
      <c r="C129" t="s">
        <v>271</v>
      </c>
      <c r="D129" t="s">
        <v>282</v>
      </c>
      <c r="E129" t="s">
        <v>13</v>
      </c>
      <c r="F129" t="s">
        <v>14</v>
      </c>
      <c r="G129">
        <v>150</v>
      </c>
      <c r="H129">
        <v>2</v>
      </c>
      <c r="I129" s="16">
        <f t="shared" si="14"/>
        <v>300</v>
      </c>
      <c r="J129">
        <v>2</v>
      </c>
      <c r="K129">
        <f t="shared" si="15"/>
        <v>300</v>
      </c>
      <c r="L129">
        <f t="shared" si="23"/>
        <v>0</v>
      </c>
      <c r="M129">
        <f t="shared" si="16"/>
        <v>0</v>
      </c>
      <c r="N129">
        <f t="shared" si="17"/>
        <v>0</v>
      </c>
      <c r="O129">
        <f t="shared" si="18"/>
        <v>0</v>
      </c>
    </row>
    <row r="130" spans="1:18" hidden="1" x14ac:dyDescent="0.3">
      <c r="A130">
        <v>6644</v>
      </c>
      <c r="B130" t="s">
        <v>283</v>
      </c>
      <c r="C130" t="s">
        <v>271</v>
      </c>
      <c r="D130" t="s">
        <v>284</v>
      </c>
      <c r="E130" t="s">
        <v>13</v>
      </c>
      <c r="F130" t="s">
        <v>44</v>
      </c>
      <c r="G130">
        <v>100</v>
      </c>
      <c r="H130">
        <v>2</v>
      </c>
      <c r="I130" s="16">
        <f t="shared" si="14"/>
        <v>200</v>
      </c>
      <c r="J130">
        <v>2</v>
      </c>
      <c r="K130">
        <f t="shared" si="15"/>
        <v>200</v>
      </c>
      <c r="L130">
        <f t="shared" si="23"/>
        <v>0</v>
      </c>
      <c r="M130">
        <f t="shared" si="16"/>
        <v>0</v>
      </c>
      <c r="N130">
        <f t="shared" si="17"/>
        <v>0</v>
      </c>
      <c r="O130">
        <f t="shared" si="18"/>
        <v>0</v>
      </c>
    </row>
    <row r="131" spans="1:18" hidden="1" x14ac:dyDescent="0.3">
      <c r="A131">
        <v>8227</v>
      </c>
      <c r="B131" t="s">
        <v>285</v>
      </c>
      <c r="C131" t="s">
        <v>271</v>
      </c>
      <c r="D131" t="s">
        <v>286</v>
      </c>
      <c r="E131" t="s">
        <v>13</v>
      </c>
      <c r="F131" t="s">
        <v>14</v>
      </c>
      <c r="G131">
        <v>180</v>
      </c>
      <c r="H131">
        <v>2</v>
      </c>
      <c r="I131" s="16">
        <f t="shared" ref="I131:I194" si="26">H131*G131</f>
        <v>360</v>
      </c>
      <c r="J131">
        <v>2</v>
      </c>
      <c r="K131">
        <f t="shared" ref="K131:K194" si="27">J131*G131</f>
        <v>360</v>
      </c>
      <c r="L131">
        <f t="shared" si="23"/>
        <v>0</v>
      </c>
      <c r="M131">
        <f t="shared" ref="M131:M194" si="28">L131*G131</f>
        <v>0</v>
      </c>
      <c r="N131">
        <f t="shared" ref="N131:N194" si="29">M131*0.25</f>
        <v>0</v>
      </c>
      <c r="O131">
        <f t="shared" ref="O131:O194" si="30">M131-N131</f>
        <v>0</v>
      </c>
    </row>
    <row r="132" spans="1:18" hidden="1" x14ac:dyDescent="0.3">
      <c r="A132">
        <v>30</v>
      </c>
      <c r="B132" t="s">
        <v>287</v>
      </c>
      <c r="C132" t="s">
        <v>271</v>
      </c>
      <c r="D132" t="s">
        <v>288</v>
      </c>
      <c r="E132" t="s">
        <v>13</v>
      </c>
      <c r="F132" t="s">
        <v>116</v>
      </c>
      <c r="G132">
        <v>170</v>
      </c>
      <c r="H132">
        <v>2</v>
      </c>
      <c r="I132" s="16">
        <f t="shared" si="26"/>
        <v>340</v>
      </c>
      <c r="J132">
        <v>2</v>
      </c>
      <c r="K132">
        <f t="shared" si="27"/>
        <v>340</v>
      </c>
      <c r="L132">
        <f t="shared" si="23"/>
        <v>0</v>
      </c>
      <c r="M132">
        <f t="shared" si="28"/>
        <v>0</v>
      </c>
      <c r="N132">
        <f t="shared" si="29"/>
        <v>0</v>
      </c>
      <c r="O132">
        <f t="shared" si="30"/>
        <v>0</v>
      </c>
    </row>
    <row r="133" spans="1:18" ht="18.3" x14ac:dyDescent="0.4">
      <c r="A133">
        <v>9431</v>
      </c>
      <c r="B133" t="s">
        <v>289</v>
      </c>
      <c r="C133" t="s">
        <v>271</v>
      </c>
      <c r="D133" t="s">
        <v>290</v>
      </c>
      <c r="E133" t="s">
        <v>13</v>
      </c>
      <c r="F133" t="s">
        <v>14</v>
      </c>
      <c r="G133">
        <v>120</v>
      </c>
      <c r="H133">
        <v>2</v>
      </c>
      <c r="I133" s="16">
        <f t="shared" si="26"/>
        <v>240</v>
      </c>
      <c r="J133">
        <v>1</v>
      </c>
      <c r="K133">
        <f t="shared" si="27"/>
        <v>120</v>
      </c>
      <c r="L133">
        <f t="shared" si="23"/>
        <v>1</v>
      </c>
      <c r="M133">
        <f t="shared" si="28"/>
        <v>120</v>
      </c>
      <c r="N133">
        <f t="shared" si="29"/>
        <v>30</v>
      </c>
      <c r="O133">
        <f t="shared" si="30"/>
        <v>90</v>
      </c>
      <c r="R133" s="21" t="str">
        <f>_xlfn.TEXTJOIN("  by ",TRUE,B132,C132)</f>
        <v>Athikaalai Alaral  by Devibala</v>
      </c>
    </row>
    <row r="134" spans="1:18" hidden="1" x14ac:dyDescent="0.3">
      <c r="A134">
        <v>8230</v>
      </c>
      <c r="B134" t="s">
        <v>291</v>
      </c>
      <c r="C134" t="s">
        <v>271</v>
      </c>
      <c r="D134" t="s">
        <v>292</v>
      </c>
      <c r="E134" t="s">
        <v>13</v>
      </c>
      <c r="F134" t="s">
        <v>44</v>
      </c>
      <c r="G134">
        <v>110</v>
      </c>
      <c r="H134">
        <v>2</v>
      </c>
      <c r="I134" s="16">
        <f t="shared" si="26"/>
        <v>220</v>
      </c>
      <c r="J134">
        <v>2</v>
      </c>
      <c r="K134">
        <f t="shared" si="27"/>
        <v>220</v>
      </c>
      <c r="L134">
        <f t="shared" si="23"/>
        <v>0</v>
      </c>
      <c r="M134">
        <f t="shared" si="28"/>
        <v>0</v>
      </c>
      <c r="N134">
        <f t="shared" si="29"/>
        <v>0</v>
      </c>
      <c r="O134">
        <f t="shared" si="30"/>
        <v>0</v>
      </c>
    </row>
    <row r="135" spans="1:18" ht="18.3" x14ac:dyDescent="0.4">
      <c r="A135">
        <v>8366</v>
      </c>
      <c r="B135" t="s">
        <v>293</v>
      </c>
      <c r="C135" t="s">
        <v>271</v>
      </c>
      <c r="D135" t="s">
        <v>294</v>
      </c>
      <c r="E135" t="s">
        <v>13</v>
      </c>
      <c r="F135" t="s">
        <v>14</v>
      </c>
      <c r="G135">
        <v>210</v>
      </c>
      <c r="H135">
        <v>2</v>
      </c>
      <c r="I135" s="16">
        <f t="shared" si="26"/>
        <v>420</v>
      </c>
      <c r="J135">
        <v>1</v>
      </c>
      <c r="K135">
        <f t="shared" si="27"/>
        <v>210</v>
      </c>
      <c r="L135">
        <f t="shared" si="23"/>
        <v>1</v>
      </c>
      <c r="M135">
        <f t="shared" si="28"/>
        <v>210</v>
      </c>
      <c r="N135">
        <f t="shared" si="29"/>
        <v>52.5</v>
      </c>
      <c r="O135">
        <f t="shared" si="30"/>
        <v>157.5</v>
      </c>
      <c r="R135" s="21" t="str">
        <f>_xlfn.TEXTJOIN("  by ",TRUE,B134,C134)</f>
        <v>Athu Mattum Ragasiyam  by Devibala</v>
      </c>
    </row>
    <row r="136" spans="1:18" hidden="1" x14ac:dyDescent="0.3">
      <c r="A136">
        <v>6647</v>
      </c>
      <c r="B136" t="s">
        <v>295</v>
      </c>
      <c r="C136" t="s">
        <v>271</v>
      </c>
      <c r="D136" t="s">
        <v>296</v>
      </c>
      <c r="E136" t="s">
        <v>13</v>
      </c>
      <c r="F136" t="s">
        <v>44</v>
      </c>
      <c r="G136">
        <v>60</v>
      </c>
      <c r="H136">
        <v>2</v>
      </c>
      <c r="I136" s="16">
        <f t="shared" si="26"/>
        <v>120</v>
      </c>
      <c r="J136">
        <v>2</v>
      </c>
      <c r="K136">
        <f t="shared" si="27"/>
        <v>120</v>
      </c>
      <c r="L136">
        <f t="shared" si="23"/>
        <v>0</v>
      </c>
      <c r="M136">
        <f t="shared" si="28"/>
        <v>0</v>
      </c>
      <c r="N136">
        <f t="shared" si="29"/>
        <v>0</v>
      </c>
      <c r="O136">
        <f t="shared" si="30"/>
        <v>0</v>
      </c>
    </row>
    <row r="137" spans="1:18" hidden="1" x14ac:dyDescent="0.3">
      <c r="A137">
        <v>8141</v>
      </c>
      <c r="B137" t="s">
        <v>297</v>
      </c>
      <c r="C137" t="s">
        <v>271</v>
      </c>
      <c r="D137" t="s">
        <v>298</v>
      </c>
      <c r="E137" t="s">
        <v>13</v>
      </c>
      <c r="F137" t="s">
        <v>14</v>
      </c>
      <c r="G137">
        <v>90</v>
      </c>
      <c r="H137">
        <v>2</v>
      </c>
      <c r="I137" s="16">
        <f t="shared" si="26"/>
        <v>180</v>
      </c>
      <c r="J137">
        <v>2</v>
      </c>
      <c r="K137">
        <f t="shared" si="27"/>
        <v>180</v>
      </c>
      <c r="L137">
        <f t="shared" si="23"/>
        <v>0</v>
      </c>
      <c r="M137">
        <f t="shared" si="28"/>
        <v>0</v>
      </c>
      <c r="N137">
        <f t="shared" si="29"/>
        <v>0</v>
      </c>
      <c r="O137">
        <f t="shared" si="30"/>
        <v>0</v>
      </c>
    </row>
    <row r="138" spans="1:18" hidden="1" x14ac:dyDescent="0.3">
      <c r="A138">
        <v>4305</v>
      </c>
      <c r="B138" t="s">
        <v>299</v>
      </c>
      <c r="C138" t="s">
        <v>271</v>
      </c>
      <c r="D138" t="s">
        <v>300</v>
      </c>
      <c r="E138" t="s">
        <v>13</v>
      </c>
      <c r="F138" t="s">
        <v>123</v>
      </c>
      <c r="G138">
        <v>120</v>
      </c>
      <c r="H138">
        <v>2</v>
      </c>
      <c r="I138" s="16">
        <f t="shared" si="26"/>
        <v>240</v>
      </c>
      <c r="J138">
        <v>2</v>
      </c>
      <c r="K138">
        <f t="shared" si="27"/>
        <v>240</v>
      </c>
      <c r="L138">
        <f t="shared" si="23"/>
        <v>0</v>
      </c>
      <c r="M138">
        <f t="shared" si="28"/>
        <v>0</v>
      </c>
      <c r="N138">
        <f t="shared" si="29"/>
        <v>0</v>
      </c>
      <c r="O138">
        <f t="shared" si="30"/>
        <v>0</v>
      </c>
    </row>
    <row r="139" spans="1:18" hidden="1" x14ac:dyDescent="0.3">
      <c r="A139">
        <v>9611</v>
      </c>
      <c r="B139" t="s">
        <v>301</v>
      </c>
      <c r="C139" t="s">
        <v>271</v>
      </c>
      <c r="D139" t="s">
        <v>302</v>
      </c>
      <c r="E139" t="s">
        <v>13</v>
      </c>
      <c r="F139" t="s">
        <v>39</v>
      </c>
      <c r="G139">
        <v>130</v>
      </c>
      <c r="H139">
        <v>2</v>
      </c>
      <c r="I139" s="16">
        <f t="shared" si="26"/>
        <v>260</v>
      </c>
      <c r="J139">
        <v>2</v>
      </c>
      <c r="K139">
        <f t="shared" si="27"/>
        <v>260</v>
      </c>
      <c r="L139">
        <f t="shared" si="23"/>
        <v>0</v>
      </c>
      <c r="M139">
        <f t="shared" si="28"/>
        <v>0</v>
      </c>
      <c r="N139">
        <f t="shared" si="29"/>
        <v>0</v>
      </c>
      <c r="O139">
        <f t="shared" si="30"/>
        <v>0</v>
      </c>
    </row>
    <row r="140" spans="1:18" ht="18.3" x14ac:dyDescent="0.4">
      <c r="A140">
        <v>8349</v>
      </c>
      <c r="B140" t="s">
        <v>303</v>
      </c>
      <c r="C140" t="s">
        <v>271</v>
      </c>
      <c r="D140" t="s">
        <v>304</v>
      </c>
      <c r="E140" t="s">
        <v>13</v>
      </c>
      <c r="F140" t="s">
        <v>39</v>
      </c>
      <c r="G140">
        <v>140</v>
      </c>
      <c r="H140">
        <v>2</v>
      </c>
      <c r="I140" s="16">
        <f t="shared" si="26"/>
        <v>280</v>
      </c>
      <c r="J140">
        <v>1</v>
      </c>
      <c r="K140">
        <f t="shared" si="27"/>
        <v>140</v>
      </c>
      <c r="L140">
        <f t="shared" si="23"/>
        <v>1</v>
      </c>
      <c r="M140">
        <f t="shared" si="28"/>
        <v>140</v>
      </c>
      <c r="N140">
        <f t="shared" si="29"/>
        <v>35</v>
      </c>
      <c r="O140">
        <f t="shared" si="30"/>
        <v>105</v>
      </c>
      <c r="R140" s="21" t="str">
        <f>_xlfn.TEXTJOIN("  by ",TRUE,B139,C139)</f>
        <v>Ennai Vittal Yarumillai!  by Devibala</v>
      </c>
    </row>
    <row r="141" spans="1:18" hidden="1" x14ac:dyDescent="0.3">
      <c r="A141">
        <v>3632</v>
      </c>
      <c r="B141" t="s">
        <v>305</v>
      </c>
      <c r="C141" t="s">
        <v>271</v>
      </c>
      <c r="D141" t="s">
        <v>306</v>
      </c>
      <c r="E141" t="s">
        <v>13</v>
      </c>
      <c r="F141" t="s">
        <v>44</v>
      </c>
      <c r="G141">
        <v>120</v>
      </c>
      <c r="H141">
        <v>2</v>
      </c>
      <c r="I141" s="16">
        <f t="shared" si="26"/>
        <v>240</v>
      </c>
      <c r="J141">
        <v>2</v>
      </c>
      <c r="K141">
        <f t="shared" si="27"/>
        <v>240</v>
      </c>
      <c r="L141">
        <f t="shared" si="23"/>
        <v>0</v>
      </c>
      <c r="M141">
        <f t="shared" si="28"/>
        <v>0</v>
      </c>
      <c r="N141">
        <f t="shared" si="29"/>
        <v>0</v>
      </c>
      <c r="O141">
        <f t="shared" si="30"/>
        <v>0</v>
      </c>
    </row>
    <row r="142" spans="1:18" hidden="1" x14ac:dyDescent="0.3">
      <c r="A142">
        <v>8228</v>
      </c>
      <c r="B142" t="s">
        <v>307</v>
      </c>
      <c r="C142" t="s">
        <v>271</v>
      </c>
      <c r="D142" t="s">
        <v>308</v>
      </c>
      <c r="E142" t="s">
        <v>13</v>
      </c>
      <c r="F142" t="s">
        <v>44</v>
      </c>
      <c r="G142">
        <v>180</v>
      </c>
      <c r="H142">
        <v>2</v>
      </c>
      <c r="I142" s="16">
        <f t="shared" si="26"/>
        <v>360</v>
      </c>
      <c r="J142">
        <v>2</v>
      </c>
      <c r="K142">
        <f t="shared" si="27"/>
        <v>360</v>
      </c>
      <c r="L142">
        <f t="shared" si="23"/>
        <v>0</v>
      </c>
      <c r="M142">
        <f t="shared" si="28"/>
        <v>0</v>
      </c>
      <c r="N142">
        <f t="shared" si="29"/>
        <v>0</v>
      </c>
      <c r="O142">
        <f t="shared" si="30"/>
        <v>0</v>
      </c>
    </row>
    <row r="143" spans="1:18" hidden="1" x14ac:dyDescent="0.3">
      <c r="A143">
        <v>6646</v>
      </c>
      <c r="B143" t="s">
        <v>309</v>
      </c>
      <c r="C143" t="s">
        <v>271</v>
      </c>
      <c r="D143" t="s">
        <v>310</v>
      </c>
      <c r="E143" t="s">
        <v>13</v>
      </c>
      <c r="F143" t="s">
        <v>44</v>
      </c>
      <c r="G143">
        <v>120</v>
      </c>
      <c r="H143">
        <v>2</v>
      </c>
      <c r="I143" s="16">
        <f t="shared" si="26"/>
        <v>240</v>
      </c>
      <c r="J143">
        <v>2</v>
      </c>
      <c r="K143">
        <f t="shared" si="27"/>
        <v>240</v>
      </c>
      <c r="L143">
        <f t="shared" si="23"/>
        <v>0</v>
      </c>
      <c r="M143">
        <f t="shared" si="28"/>
        <v>0</v>
      </c>
      <c r="N143">
        <f t="shared" si="29"/>
        <v>0</v>
      </c>
      <c r="O143">
        <f t="shared" si="30"/>
        <v>0</v>
      </c>
    </row>
    <row r="144" spans="1:18" hidden="1" x14ac:dyDescent="0.3">
      <c r="A144">
        <v>170</v>
      </c>
      <c r="B144" t="s">
        <v>311</v>
      </c>
      <c r="C144" t="s">
        <v>271</v>
      </c>
      <c r="D144" t="s">
        <v>312</v>
      </c>
      <c r="E144" t="s">
        <v>13</v>
      </c>
      <c r="F144" t="s">
        <v>14</v>
      </c>
      <c r="G144">
        <v>250</v>
      </c>
      <c r="H144">
        <v>2</v>
      </c>
      <c r="I144" s="16">
        <f t="shared" si="26"/>
        <v>500</v>
      </c>
      <c r="J144">
        <v>2</v>
      </c>
      <c r="K144">
        <f t="shared" si="27"/>
        <v>500</v>
      </c>
      <c r="L144">
        <f t="shared" si="23"/>
        <v>0</v>
      </c>
      <c r="M144">
        <f t="shared" si="28"/>
        <v>0</v>
      </c>
      <c r="N144">
        <f t="shared" si="29"/>
        <v>0</v>
      </c>
      <c r="O144">
        <f t="shared" si="30"/>
        <v>0</v>
      </c>
    </row>
    <row r="145" spans="1:18" hidden="1" x14ac:dyDescent="0.3">
      <c r="A145">
        <v>247</v>
      </c>
      <c r="B145" t="s">
        <v>313</v>
      </c>
      <c r="C145" t="s">
        <v>271</v>
      </c>
      <c r="D145" t="s">
        <v>314</v>
      </c>
      <c r="E145" t="s">
        <v>13</v>
      </c>
      <c r="F145" t="s">
        <v>123</v>
      </c>
      <c r="G145">
        <v>120</v>
      </c>
      <c r="H145">
        <v>2</v>
      </c>
      <c r="I145" s="16">
        <f t="shared" si="26"/>
        <v>240</v>
      </c>
      <c r="J145">
        <v>2</v>
      </c>
      <c r="K145">
        <f t="shared" si="27"/>
        <v>240</v>
      </c>
      <c r="L145">
        <f t="shared" si="23"/>
        <v>0</v>
      </c>
      <c r="M145">
        <f t="shared" si="28"/>
        <v>0</v>
      </c>
      <c r="N145">
        <f t="shared" si="29"/>
        <v>0</v>
      </c>
      <c r="O145">
        <f t="shared" si="30"/>
        <v>0</v>
      </c>
    </row>
    <row r="146" spans="1:18" hidden="1" x14ac:dyDescent="0.3">
      <c r="A146">
        <v>7834</v>
      </c>
      <c r="B146" t="s">
        <v>315</v>
      </c>
      <c r="C146" t="s">
        <v>271</v>
      </c>
      <c r="D146" t="s">
        <v>316</v>
      </c>
      <c r="E146" t="s">
        <v>13</v>
      </c>
      <c r="F146" t="s">
        <v>14</v>
      </c>
      <c r="G146">
        <v>110</v>
      </c>
      <c r="H146">
        <v>2</v>
      </c>
      <c r="I146" s="16">
        <f t="shared" si="26"/>
        <v>220</v>
      </c>
      <c r="J146">
        <v>2</v>
      </c>
      <c r="K146">
        <f t="shared" si="27"/>
        <v>220</v>
      </c>
      <c r="L146">
        <f t="shared" si="23"/>
        <v>0</v>
      </c>
      <c r="M146">
        <f t="shared" si="28"/>
        <v>0</v>
      </c>
      <c r="N146">
        <f t="shared" si="29"/>
        <v>0</v>
      </c>
      <c r="O146">
        <f t="shared" si="30"/>
        <v>0</v>
      </c>
    </row>
    <row r="147" spans="1:18" hidden="1" x14ac:dyDescent="0.3">
      <c r="A147">
        <v>35</v>
      </c>
      <c r="B147" t="s">
        <v>317</v>
      </c>
      <c r="C147" t="s">
        <v>271</v>
      </c>
      <c r="D147" t="s">
        <v>318</v>
      </c>
      <c r="E147" t="s">
        <v>13</v>
      </c>
      <c r="F147" t="s">
        <v>14</v>
      </c>
      <c r="G147">
        <v>140</v>
      </c>
      <c r="H147">
        <v>2</v>
      </c>
      <c r="I147" s="16">
        <f t="shared" si="26"/>
        <v>280</v>
      </c>
      <c r="J147">
        <v>2</v>
      </c>
      <c r="K147">
        <f t="shared" si="27"/>
        <v>280</v>
      </c>
      <c r="L147">
        <f t="shared" si="23"/>
        <v>0</v>
      </c>
      <c r="M147">
        <f t="shared" si="28"/>
        <v>0</v>
      </c>
      <c r="N147">
        <f t="shared" si="29"/>
        <v>0</v>
      </c>
      <c r="O147">
        <f t="shared" si="30"/>
        <v>0</v>
      </c>
    </row>
    <row r="148" spans="1:18" hidden="1" x14ac:dyDescent="0.3">
      <c r="A148">
        <v>6639</v>
      </c>
      <c r="B148" t="s">
        <v>319</v>
      </c>
      <c r="C148" t="s">
        <v>271</v>
      </c>
      <c r="D148" t="s">
        <v>320</v>
      </c>
      <c r="E148" t="s">
        <v>13</v>
      </c>
      <c r="F148" t="s">
        <v>44</v>
      </c>
      <c r="G148">
        <v>110</v>
      </c>
      <c r="H148">
        <v>2</v>
      </c>
      <c r="I148" s="16">
        <f t="shared" si="26"/>
        <v>220</v>
      </c>
      <c r="J148">
        <v>2</v>
      </c>
      <c r="K148">
        <f t="shared" si="27"/>
        <v>220</v>
      </c>
      <c r="L148">
        <f t="shared" si="23"/>
        <v>0</v>
      </c>
      <c r="M148">
        <f t="shared" si="28"/>
        <v>0</v>
      </c>
      <c r="N148">
        <f t="shared" si="29"/>
        <v>0</v>
      </c>
      <c r="O148">
        <f t="shared" si="30"/>
        <v>0</v>
      </c>
    </row>
    <row r="149" spans="1:18" hidden="1" x14ac:dyDescent="0.3">
      <c r="A149">
        <v>6643</v>
      </c>
      <c r="B149" t="s">
        <v>321</v>
      </c>
      <c r="C149" t="s">
        <v>271</v>
      </c>
      <c r="D149" t="s">
        <v>322</v>
      </c>
      <c r="E149" t="s">
        <v>13</v>
      </c>
      <c r="F149" t="s">
        <v>39</v>
      </c>
      <c r="G149">
        <v>100</v>
      </c>
      <c r="H149">
        <v>2</v>
      </c>
      <c r="I149" s="16">
        <f t="shared" si="26"/>
        <v>200</v>
      </c>
      <c r="J149">
        <v>2</v>
      </c>
      <c r="K149">
        <f t="shared" si="27"/>
        <v>200</v>
      </c>
      <c r="L149">
        <f t="shared" si="23"/>
        <v>0</v>
      </c>
      <c r="M149">
        <f t="shared" si="28"/>
        <v>0</v>
      </c>
      <c r="N149">
        <f t="shared" si="29"/>
        <v>0</v>
      </c>
      <c r="O149">
        <f t="shared" si="30"/>
        <v>0</v>
      </c>
    </row>
    <row r="150" spans="1:18" hidden="1" x14ac:dyDescent="0.3">
      <c r="A150">
        <v>7871</v>
      </c>
      <c r="B150" t="s">
        <v>323</v>
      </c>
      <c r="C150" t="s">
        <v>271</v>
      </c>
      <c r="D150" t="s">
        <v>324</v>
      </c>
      <c r="E150" t="s">
        <v>13</v>
      </c>
      <c r="F150" t="s">
        <v>39</v>
      </c>
      <c r="G150">
        <v>110</v>
      </c>
      <c r="H150">
        <v>2</v>
      </c>
      <c r="I150" s="16">
        <f t="shared" si="26"/>
        <v>220</v>
      </c>
      <c r="J150">
        <v>2</v>
      </c>
      <c r="K150">
        <f t="shared" si="27"/>
        <v>220</v>
      </c>
      <c r="L150">
        <f t="shared" si="23"/>
        <v>0</v>
      </c>
      <c r="M150">
        <f t="shared" si="28"/>
        <v>0</v>
      </c>
      <c r="N150">
        <f t="shared" si="29"/>
        <v>0</v>
      </c>
      <c r="O150">
        <f t="shared" si="30"/>
        <v>0</v>
      </c>
    </row>
    <row r="151" spans="1:18" hidden="1" x14ac:dyDescent="0.3">
      <c r="A151">
        <v>6196</v>
      </c>
      <c r="B151" t="s">
        <v>325</v>
      </c>
      <c r="C151" t="s">
        <v>271</v>
      </c>
      <c r="D151" t="s">
        <v>326</v>
      </c>
      <c r="E151" t="s">
        <v>13</v>
      </c>
      <c r="F151" t="s">
        <v>14</v>
      </c>
      <c r="G151">
        <v>150</v>
      </c>
      <c r="H151">
        <v>2</v>
      </c>
      <c r="I151" s="16">
        <f t="shared" si="26"/>
        <v>300</v>
      </c>
      <c r="J151">
        <v>2</v>
      </c>
      <c r="K151">
        <f t="shared" si="27"/>
        <v>300</v>
      </c>
      <c r="L151">
        <f t="shared" si="23"/>
        <v>0</v>
      </c>
      <c r="M151">
        <f t="shared" si="28"/>
        <v>0</v>
      </c>
      <c r="N151">
        <f t="shared" si="29"/>
        <v>0</v>
      </c>
      <c r="O151">
        <f t="shared" si="30"/>
        <v>0</v>
      </c>
    </row>
    <row r="152" spans="1:18" hidden="1" x14ac:dyDescent="0.3">
      <c r="A152">
        <v>10731</v>
      </c>
      <c r="B152" t="s">
        <v>327</v>
      </c>
      <c r="C152" t="s">
        <v>271</v>
      </c>
      <c r="D152" t="s">
        <v>328</v>
      </c>
      <c r="E152" t="s">
        <v>13</v>
      </c>
      <c r="F152" t="s">
        <v>14</v>
      </c>
      <c r="G152">
        <v>130</v>
      </c>
      <c r="H152">
        <v>2</v>
      </c>
      <c r="I152" s="16">
        <f t="shared" si="26"/>
        <v>260</v>
      </c>
      <c r="J152">
        <v>2</v>
      </c>
      <c r="K152">
        <f t="shared" si="27"/>
        <v>260</v>
      </c>
      <c r="L152">
        <f t="shared" si="23"/>
        <v>0</v>
      </c>
      <c r="M152">
        <f t="shared" si="28"/>
        <v>0</v>
      </c>
      <c r="N152">
        <f t="shared" si="29"/>
        <v>0</v>
      </c>
      <c r="O152">
        <f t="shared" si="30"/>
        <v>0</v>
      </c>
    </row>
    <row r="153" spans="1:18" hidden="1" x14ac:dyDescent="0.3">
      <c r="A153">
        <v>3721</v>
      </c>
      <c r="B153" t="s">
        <v>329</v>
      </c>
      <c r="C153" t="s">
        <v>271</v>
      </c>
      <c r="D153" t="s">
        <v>330</v>
      </c>
      <c r="E153" t="s">
        <v>13</v>
      </c>
      <c r="F153" t="s">
        <v>44</v>
      </c>
      <c r="G153">
        <v>160</v>
      </c>
      <c r="H153">
        <v>2</v>
      </c>
      <c r="I153" s="16">
        <f t="shared" si="26"/>
        <v>320</v>
      </c>
      <c r="J153">
        <v>2</v>
      </c>
      <c r="K153">
        <f t="shared" si="27"/>
        <v>320</v>
      </c>
      <c r="L153">
        <f t="shared" si="23"/>
        <v>0</v>
      </c>
      <c r="M153">
        <f t="shared" si="28"/>
        <v>0</v>
      </c>
      <c r="N153">
        <f t="shared" si="29"/>
        <v>0</v>
      </c>
      <c r="O153">
        <f t="shared" si="30"/>
        <v>0</v>
      </c>
    </row>
    <row r="154" spans="1:18" ht="18.3" x14ac:dyDescent="0.4">
      <c r="A154">
        <v>6198</v>
      </c>
      <c r="B154" t="s">
        <v>331</v>
      </c>
      <c r="C154" t="s">
        <v>271</v>
      </c>
      <c r="D154" t="s">
        <v>332</v>
      </c>
      <c r="E154" t="s">
        <v>13</v>
      </c>
      <c r="F154" t="s">
        <v>14</v>
      </c>
      <c r="G154">
        <v>150</v>
      </c>
      <c r="H154">
        <v>2</v>
      </c>
      <c r="I154" s="16">
        <f t="shared" si="26"/>
        <v>300</v>
      </c>
      <c r="J154">
        <v>1</v>
      </c>
      <c r="K154">
        <f t="shared" si="27"/>
        <v>150</v>
      </c>
      <c r="L154">
        <f t="shared" si="23"/>
        <v>1</v>
      </c>
      <c r="M154">
        <f t="shared" si="28"/>
        <v>150</v>
      </c>
      <c r="N154">
        <f t="shared" si="29"/>
        <v>37.5</v>
      </c>
      <c r="O154">
        <f t="shared" si="30"/>
        <v>112.5</v>
      </c>
      <c r="R154" s="21" t="str">
        <f t="shared" ref="R154:R158" si="31">_xlfn.TEXTJOIN("  by ",TRUE,B153,C153)</f>
        <v>Maakolam  by Devibala</v>
      </c>
    </row>
    <row r="155" spans="1:18" ht="18.3" x14ac:dyDescent="0.4">
      <c r="A155">
        <v>3522</v>
      </c>
      <c r="B155" t="s">
        <v>333</v>
      </c>
      <c r="C155" t="s">
        <v>271</v>
      </c>
      <c r="D155" t="s">
        <v>334</v>
      </c>
      <c r="E155" t="s">
        <v>13</v>
      </c>
      <c r="F155" t="s">
        <v>14</v>
      </c>
      <c r="G155">
        <v>370</v>
      </c>
      <c r="H155">
        <v>4</v>
      </c>
      <c r="I155" s="16">
        <f t="shared" si="26"/>
        <v>1480</v>
      </c>
      <c r="J155">
        <v>3</v>
      </c>
      <c r="K155">
        <f t="shared" si="27"/>
        <v>1110</v>
      </c>
      <c r="L155">
        <f t="shared" si="23"/>
        <v>1</v>
      </c>
      <c r="M155">
        <f t="shared" si="28"/>
        <v>370</v>
      </c>
      <c r="N155">
        <f t="shared" si="29"/>
        <v>92.5</v>
      </c>
      <c r="O155">
        <f t="shared" si="30"/>
        <v>277.5</v>
      </c>
      <c r="R155" s="21" t="str">
        <f t="shared" si="31"/>
        <v>Maavilakku!  by Devibala</v>
      </c>
    </row>
    <row r="156" spans="1:18" ht="18.3" x14ac:dyDescent="0.4">
      <c r="A156">
        <v>6176</v>
      </c>
      <c r="B156" t="s">
        <v>335</v>
      </c>
      <c r="C156" t="s">
        <v>271</v>
      </c>
      <c r="D156" t="s">
        <v>336</v>
      </c>
      <c r="E156" t="s">
        <v>13</v>
      </c>
      <c r="F156" t="s">
        <v>14</v>
      </c>
      <c r="G156">
        <v>460</v>
      </c>
      <c r="H156">
        <v>4</v>
      </c>
      <c r="I156" s="16">
        <f t="shared" si="26"/>
        <v>1840</v>
      </c>
      <c r="J156">
        <v>3</v>
      </c>
      <c r="K156">
        <f t="shared" si="27"/>
        <v>1380</v>
      </c>
      <c r="L156">
        <f t="shared" si="23"/>
        <v>1</v>
      </c>
      <c r="M156">
        <f t="shared" si="28"/>
        <v>460</v>
      </c>
      <c r="N156">
        <f t="shared" si="29"/>
        <v>115</v>
      </c>
      <c r="O156">
        <f t="shared" si="30"/>
        <v>345</v>
      </c>
      <c r="R156" s="21" t="str">
        <f t="shared" si="31"/>
        <v>Madisaar Maami  by Devibala</v>
      </c>
    </row>
    <row r="157" spans="1:18" ht="18.3" x14ac:dyDescent="0.4">
      <c r="A157">
        <v>6641</v>
      </c>
      <c r="B157" t="s">
        <v>337</v>
      </c>
      <c r="C157" t="s">
        <v>271</v>
      </c>
      <c r="D157" t="s">
        <v>338</v>
      </c>
      <c r="E157" t="s">
        <v>13</v>
      </c>
      <c r="F157" t="s">
        <v>116</v>
      </c>
      <c r="G157">
        <v>90</v>
      </c>
      <c r="H157">
        <v>2</v>
      </c>
      <c r="I157" s="16">
        <f t="shared" si="26"/>
        <v>180</v>
      </c>
      <c r="J157">
        <v>1</v>
      </c>
      <c r="K157">
        <f t="shared" si="27"/>
        <v>90</v>
      </c>
      <c r="L157">
        <f t="shared" si="23"/>
        <v>1</v>
      </c>
      <c r="M157">
        <f t="shared" si="28"/>
        <v>90</v>
      </c>
      <c r="N157">
        <f t="shared" si="29"/>
        <v>22.5</v>
      </c>
      <c r="O157">
        <f t="shared" si="30"/>
        <v>67.5</v>
      </c>
      <c r="R157" s="21" t="str">
        <f t="shared" si="31"/>
        <v>Madisaar Maami 2.0  by Devibala</v>
      </c>
    </row>
    <row r="158" spans="1:18" ht="18.3" x14ac:dyDescent="0.4">
      <c r="A158">
        <v>8136</v>
      </c>
      <c r="B158" t="s">
        <v>339</v>
      </c>
      <c r="C158" t="s">
        <v>271</v>
      </c>
      <c r="D158" t="s">
        <v>340</v>
      </c>
      <c r="E158" t="s">
        <v>13</v>
      </c>
      <c r="F158" t="s">
        <v>123</v>
      </c>
      <c r="G158">
        <v>80</v>
      </c>
      <c r="H158">
        <v>2</v>
      </c>
      <c r="I158" s="16">
        <f t="shared" si="26"/>
        <v>160</v>
      </c>
      <c r="J158">
        <v>0</v>
      </c>
      <c r="K158">
        <f t="shared" si="27"/>
        <v>0</v>
      </c>
      <c r="L158">
        <f t="shared" si="23"/>
        <v>2</v>
      </c>
      <c r="M158">
        <f t="shared" si="28"/>
        <v>160</v>
      </c>
      <c r="N158">
        <f t="shared" si="29"/>
        <v>40</v>
      </c>
      <c r="O158">
        <f t="shared" si="30"/>
        <v>120</v>
      </c>
      <c r="R158" s="21" t="str">
        <f t="shared" si="31"/>
        <v>Maranathin Niram Manjal  by Devibala</v>
      </c>
    </row>
    <row r="159" spans="1:18" hidden="1" x14ac:dyDescent="0.3">
      <c r="A159">
        <v>3335</v>
      </c>
      <c r="B159" t="s">
        <v>341</v>
      </c>
      <c r="C159" t="s">
        <v>271</v>
      </c>
      <c r="D159" t="s">
        <v>342</v>
      </c>
      <c r="E159" t="s">
        <v>13</v>
      </c>
      <c r="F159" t="s">
        <v>44</v>
      </c>
      <c r="G159">
        <v>150</v>
      </c>
      <c r="H159">
        <v>2</v>
      </c>
      <c r="I159" s="16">
        <f t="shared" si="26"/>
        <v>300</v>
      </c>
      <c r="J159">
        <v>2</v>
      </c>
      <c r="K159">
        <f t="shared" si="27"/>
        <v>300</v>
      </c>
      <c r="L159">
        <f t="shared" si="23"/>
        <v>0</v>
      </c>
      <c r="M159">
        <f t="shared" si="28"/>
        <v>0</v>
      </c>
      <c r="N159">
        <f t="shared" si="29"/>
        <v>0</v>
      </c>
      <c r="O159">
        <f t="shared" si="30"/>
        <v>0</v>
      </c>
    </row>
    <row r="160" spans="1:18" ht="18.3" x14ac:dyDescent="0.4">
      <c r="A160">
        <v>1402</v>
      </c>
      <c r="B160" t="s">
        <v>343</v>
      </c>
      <c r="C160" t="s">
        <v>271</v>
      </c>
      <c r="D160" t="s">
        <v>344</v>
      </c>
      <c r="E160" t="s">
        <v>13</v>
      </c>
      <c r="F160" t="s">
        <v>123</v>
      </c>
      <c r="G160">
        <v>340</v>
      </c>
      <c r="H160">
        <v>2</v>
      </c>
      <c r="I160" s="16">
        <f t="shared" si="26"/>
        <v>680</v>
      </c>
      <c r="J160">
        <v>1</v>
      </c>
      <c r="K160">
        <f t="shared" si="27"/>
        <v>340</v>
      </c>
      <c r="L160">
        <f t="shared" si="23"/>
        <v>1</v>
      </c>
      <c r="M160">
        <f t="shared" si="28"/>
        <v>340</v>
      </c>
      <c r="N160">
        <f t="shared" si="29"/>
        <v>85</v>
      </c>
      <c r="O160">
        <f t="shared" si="30"/>
        <v>255</v>
      </c>
      <c r="R160" s="21" t="str">
        <f>_xlfn.TEXTJOIN("  by ",TRUE,B159,C159)</f>
        <v>Mattikita Maranam  by Devibala</v>
      </c>
    </row>
    <row r="161" spans="1:18" hidden="1" x14ac:dyDescent="0.3">
      <c r="A161">
        <v>7837</v>
      </c>
      <c r="B161" t="s">
        <v>345</v>
      </c>
      <c r="C161" t="s">
        <v>271</v>
      </c>
      <c r="D161" t="s">
        <v>346</v>
      </c>
      <c r="E161" t="s">
        <v>13</v>
      </c>
      <c r="F161" t="s">
        <v>14</v>
      </c>
      <c r="G161">
        <v>70</v>
      </c>
      <c r="H161">
        <v>2</v>
      </c>
      <c r="I161" s="16">
        <f t="shared" si="26"/>
        <v>140</v>
      </c>
      <c r="J161">
        <v>2</v>
      </c>
      <c r="K161">
        <f t="shared" si="27"/>
        <v>140</v>
      </c>
      <c r="L161">
        <f t="shared" si="23"/>
        <v>0</v>
      </c>
      <c r="M161">
        <f t="shared" si="28"/>
        <v>0</v>
      </c>
      <c r="N161">
        <f t="shared" si="29"/>
        <v>0</v>
      </c>
      <c r="O161">
        <f t="shared" si="30"/>
        <v>0</v>
      </c>
    </row>
    <row r="162" spans="1:18" ht="18.3" x14ac:dyDescent="0.4">
      <c r="A162">
        <v>6768</v>
      </c>
      <c r="B162" t="s">
        <v>347</v>
      </c>
      <c r="C162" t="s">
        <v>271</v>
      </c>
      <c r="D162" t="s">
        <v>348</v>
      </c>
      <c r="E162" t="s">
        <v>13</v>
      </c>
      <c r="F162" t="s">
        <v>14</v>
      </c>
      <c r="G162">
        <v>210</v>
      </c>
      <c r="H162">
        <v>4</v>
      </c>
      <c r="I162" s="16">
        <f t="shared" si="26"/>
        <v>840</v>
      </c>
      <c r="J162">
        <v>3</v>
      </c>
      <c r="K162">
        <f t="shared" si="27"/>
        <v>630</v>
      </c>
      <c r="L162">
        <f t="shared" si="23"/>
        <v>1</v>
      </c>
      <c r="M162">
        <f t="shared" si="28"/>
        <v>210</v>
      </c>
      <c r="N162">
        <f t="shared" si="29"/>
        <v>52.5</v>
      </c>
      <c r="O162">
        <f t="shared" si="30"/>
        <v>157.5</v>
      </c>
      <c r="R162" s="21" t="str">
        <f t="shared" ref="R162:R163" si="32">_xlfn.TEXTJOIN("  by ",TRUE,B161,C161)</f>
        <v>Moolai Thanda Moolathanam  by Devibala</v>
      </c>
    </row>
    <row r="163" spans="1:18" ht="18.3" x14ac:dyDescent="0.4">
      <c r="A163">
        <v>3820</v>
      </c>
      <c r="B163" t="s">
        <v>349</v>
      </c>
      <c r="C163" t="s">
        <v>271</v>
      </c>
      <c r="D163" t="s">
        <v>350</v>
      </c>
      <c r="E163" t="s">
        <v>13</v>
      </c>
      <c r="F163" t="s">
        <v>44</v>
      </c>
      <c r="G163">
        <v>280</v>
      </c>
      <c r="H163">
        <v>2</v>
      </c>
      <c r="I163" s="16">
        <f t="shared" si="26"/>
        <v>560</v>
      </c>
      <c r="J163">
        <v>1</v>
      </c>
      <c r="K163">
        <f t="shared" si="27"/>
        <v>280</v>
      </c>
      <c r="L163">
        <f t="shared" si="23"/>
        <v>1</v>
      </c>
      <c r="M163">
        <f t="shared" si="28"/>
        <v>280</v>
      </c>
      <c r="N163">
        <f t="shared" si="29"/>
        <v>70</v>
      </c>
      <c r="O163">
        <f t="shared" si="30"/>
        <v>210</v>
      </c>
      <c r="R163" s="21" t="str">
        <f t="shared" si="32"/>
        <v>Mudindhu Vitta Aasai  by Devibala</v>
      </c>
    </row>
    <row r="164" spans="1:18" hidden="1" x14ac:dyDescent="0.3">
      <c r="A164">
        <v>7877</v>
      </c>
      <c r="B164" t="s">
        <v>351</v>
      </c>
      <c r="C164" t="s">
        <v>271</v>
      </c>
      <c r="D164" t="s">
        <v>352</v>
      </c>
      <c r="E164" t="s">
        <v>13</v>
      </c>
      <c r="F164" t="s">
        <v>14</v>
      </c>
      <c r="G164">
        <v>110</v>
      </c>
      <c r="H164">
        <v>2</v>
      </c>
      <c r="I164" s="16">
        <f t="shared" si="26"/>
        <v>220</v>
      </c>
      <c r="J164">
        <v>2</v>
      </c>
      <c r="K164">
        <f t="shared" si="27"/>
        <v>220</v>
      </c>
      <c r="L164">
        <f t="shared" ref="L164:L227" si="33">H164-J164</f>
        <v>0</v>
      </c>
      <c r="M164">
        <f t="shared" si="28"/>
        <v>0</v>
      </c>
      <c r="N164">
        <f t="shared" si="29"/>
        <v>0</v>
      </c>
      <c r="O164">
        <f t="shared" si="30"/>
        <v>0</v>
      </c>
    </row>
    <row r="165" spans="1:18" hidden="1" x14ac:dyDescent="0.3">
      <c r="A165">
        <v>10537</v>
      </c>
      <c r="B165" t="s">
        <v>353</v>
      </c>
      <c r="C165" t="s">
        <v>271</v>
      </c>
      <c r="D165" t="s">
        <v>354</v>
      </c>
      <c r="E165" t="s">
        <v>13</v>
      </c>
      <c r="F165" t="s">
        <v>14</v>
      </c>
      <c r="G165">
        <v>100</v>
      </c>
      <c r="H165">
        <v>2</v>
      </c>
      <c r="I165" s="16">
        <f t="shared" si="26"/>
        <v>200</v>
      </c>
      <c r="J165">
        <v>2</v>
      </c>
      <c r="K165">
        <f t="shared" si="27"/>
        <v>200</v>
      </c>
      <c r="L165">
        <f t="shared" si="33"/>
        <v>0</v>
      </c>
      <c r="M165">
        <f t="shared" si="28"/>
        <v>0</v>
      </c>
      <c r="N165">
        <f t="shared" si="29"/>
        <v>0</v>
      </c>
      <c r="O165">
        <f t="shared" si="30"/>
        <v>0</v>
      </c>
    </row>
    <row r="166" spans="1:18" hidden="1" x14ac:dyDescent="0.3">
      <c r="A166">
        <v>7823</v>
      </c>
      <c r="B166" t="s">
        <v>355</v>
      </c>
      <c r="C166" t="s">
        <v>271</v>
      </c>
      <c r="D166" t="s">
        <v>356</v>
      </c>
      <c r="E166" t="s">
        <v>13</v>
      </c>
      <c r="F166" t="s">
        <v>14</v>
      </c>
      <c r="G166">
        <v>110</v>
      </c>
      <c r="H166">
        <v>2</v>
      </c>
      <c r="I166" s="16">
        <f t="shared" si="26"/>
        <v>220</v>
      </c>
      <c r="J166">
        <v>2</v>
      </c>
      <c r="K166">
        <f t="shared" si="27"/>
        <v>220</v>
      </c>
      <c r="L166">
        <f t="shared" si="33"/>
        <v>0</v>
      </c>
      <c r="M166">
        <f t="shared" si="28"/>
        <v>0</v>
      </c>
      <c r="N166">
        <f t="shared" si="29"/>
        <v>0</v>
      </c>
      <c r="O166">
        <f t="shared" si="30"/>
        <v>0</v>
      </c>
    </row>
    <row r="167" spans="1:18" hidden="1" x14ac:dyDescent="0.3">
      <c r="A167">
        <v>171</v>
      </c>
      <c r="B167" t="s">
        <v>357</v>
      </c>
      <c r="C167" t="s">
        <v>271</v>
      </c>
      <c r="D167" t="s">
        <v>358</v>
      </c>
      <c r="E167" t="s">
        <v>13</v>
      </c>
      <c r="F167" t="s">
        <v>14</v>
      </c>
      <c r="G167">
        <v>320</v>
      </c>
      <c r="H167">
        <v>2</v>
      </c>
      <c r="I167" s="16">
        <f t="shared" si="26"/>
        <v>640</v>
      </c>
      <c r="J167">
        <v>2</v>
      </c>
      <c r="K167">
        <f t="shared" si="27"/>
        <v>640</v>
      </c>
      <c r="L167">
        <f t="shared" si="33"/>
        <v>0</v>
      </c>
      <c r="M167">
        <f t="shared" si="28"/>
        <v>0</v>
      </c>
      <c r="N167">
        <f t="shared" si="29"/>
        <v>0</v>
      </c>
      <c r="O167">
        <f t="shared" si="30"/>
        <v>0</v>
      </c>
    </row>
    <row r="168" spans="1:18" hidden="1" x14ac:dyDescent="0.3">
      <c r="A168">
        <v>251</v>
      </c>
      <c r="B168" t="s">
        <v>359</v>
      </c>
      <c r="C168" t="s">
        <v>271</v>
      </c>
      <c r="D168" t="s">
        <v>360</v>
      </c>
      <c r="E168" t="s">
        <v>13</v>
      </c>
      <c r="F168" t="s">
        <v>14</v>
      </c>
      <c r="G168">
        <v>120</v>
      </c>
      <c r="H168">
        <v>2</v>
      </c>
      <c r="I168" s="16">
        <f t="shared" si="26"/>
        <v>240</v>
      </c>
      <c r="J168">
        <v>2</v>
      </c>
      <c r="K168">
        <f t="shared" si="27"/>
        <v>240</v>
      </c>
      <c r="L168">
        <f t="shared" si="33"/>
        <v>0</v>
      </c>
      <c r="M168">
        <f t="shared" si="28"/>
        <v>0</v>
      </c>
      <c r="N168">
        <f t="shared" si="29"/>
        <v>0</v>
      </c>
      <c r="O168">
        <f t="shared" si="30"/>
        <v>0</v>
      </c>
    </row>
    <row r="169" spans="1:18" hidden="1" x14ac:dyDescent="0.3">
      <c r="A169">
        <v>3222</v>
      </c>
      <c r="B169" t="s">
        <v>361</v>
      </c>
      <c r="C169" t="s">
        <v>271</v>
      </c>
      <c r="D169" t="s">
        <v>362</v>
      </c>
      <c r="E169" t="s">
        <v>13</v>
      </c>
      <c r="F169" t="s">
        <v>44</v>
      </c>
      <c r="G169">
        <v>160</v>
      </c>
      <c r="H169">
        <v>2</v>
      </c>
      <c r="I169" s="16">
        <f t="shared" si="26"/>
        <v>320</v>
      </c>
      <c r="J169">
        <v>2</v>
      </c>
      <c r="K169">
        <f t="shared" si="27"/>
        <v>320</v>
      </c>
      <c r="L169">
        <f t="shared" si="33"/>
        <v>0</v>
      </c>
      <c r="M169">
        <f t="shared" si="28"/>
        <v>0</v>
      </c>
      <c r="N169">
        <f t="shared" si="29"/>
        <v>0</v>
      </c>
      <c r="O169">
        <f t="shared" si="30"/>
        <v>0</v>
      </c>
    </row>
    <row r="170" spans="1:18" hidden="1" x14ac:dyDescent="0.3">
      <c r="A170">
        <v>362</v>
      </c>
      <c r="B170" t="s">
        <v>363</v>
      </c>
      <c r="C170" t="s">
        <v>271</v>
      </c>
      <c r="D170" t="s">
        <v>364</v>
      </c>
      <c r="E170" t="s">
        <v>13</v>
      </c>
      <c r="F170" t="s">
        <v>14</v>
      </c>
      <c r="G170">
        <v>360</v>
      </c>
      <c r="H170">
        <v>2</v>
      </c>
      <c r="I170" s="16">
        <f t="shared" si="26"/>
        <v>720</v>
      </c>
      <c r="J170">
        <v>2</v>
      </c>
      <c r="K170">
        <f t="shared" si="27"/>
        <v>720</v>
      </c>
      <c r="L170">
        <f t="shared" si="33"/>
        <v>0</v>
      </c>
      <c r="M170">
        <f t="shared" si="28"/>
        <v>0</v>
      </c>
      <c r="N170">
        <f t="shared" si="29"/>
        <v>0</v>
      </c>
      <c r="O170">
        <f t="shared" si="30"/>
        <v>0</v>
      </c>
    </row>
    <row r="171" spans="1:18" hidden="1" x14ac:dyDescent="0.3">
      <c r="A171">
        <v>8140</v>
      </c>
      <c r="B171" t="s">
        <v>365</v>
      </c>
      <c r="C171" t="s">
        <v>271</v>
      </c>
      <c r="D171" t="s">
        <v>366</v>
      </c>
      <c r="E171" t="s">
        <v>13</v>
      </c>
      <c r="F171" t="s">
        <v>14</v>
      </c>
      <c r="G171">
        <v>70</v>
      </c>
      <c r="H171">
        <v>2</v>
      </c>
      <c r="I171" s="16">
        <f t="shared" si="26"/>
        <v>140</v>
      </c>
      <c r="J171">
        <v>2</v>
      </c>
      <c r="K171">
        <f t="shared" si="27"/>
        <v>140</v>
      </c>
      <c r="L171">
        <f t="shared" si="33"/>
        <v>0</v>
      </c>
      <c r="M171">
        <f t="shared" si="28"/>
        <v>0</v>
      </c>
      <c r="N171">
        <f t="shared" si="29"/>
        <v>0</v>
      </c>
      <c r="O171">
        <f t="shared" si="30"/>
        <v>0</v>
      </c>
    </row>
    <row r="172" spans="1:18" hidden="1" x14ac:dyDescent="0.3">
      <c r="A172">
        <v>252</v>
      </c>
      <c r="B172" t="s">
        <v>367</v>
      </c>
      <c r="C172" t="s">
        <v>271</v>
      </c>
      <c r="D172" t="s">
        <v>368</v>
      </c>
      <c r="E172" t="s">
        <v>13</v>
      </c>
      <c r="F172" t="s">
        <v>14</v>
      </c>
      <c r="G172">
        <v>270</v>
      </c>
      <c r="H172">
        <v>2</v>
      </c>
      <c r="I172" s="16">
        <f t="shared" si="26"/>
        <v>540</v>
      </c>
      <c r="J172">
        <v>2</v>
      </c>
      <c r="K172">
        <f t="shared" si="27"/>
        <v>540</v>
      </c>
      <c r="L172">
        <f t="shared" si="33"/>
        <v>0</v>
      </c>
      <c r="M172">
        <f t="shared" si="28"/>
        <v>0</v>
      </c>
      <c r="N172">
        <f t="shared" si="29"/>
        <v>0</v>
      </c>
      <c r="O172">
        <f t="shared" si="30"/>
        <v>0</v>
      </c>
    </row>
    <row r="173" spans="1:18" hidden="1" x14ac:dyDescent="0.3">
      <c r="A173">
        <v>10732</v>
      </c>
      <c r="B173" t="s">
        <v>369</v>
      </c>
      <c r="C173" t="s">
        <v>271</v>
      </c>
      <c r="D173" t="s">
        <v>370</v>
      </c>
      <c r="E173" t="s">
        <v>13</v>
      </c>
      <c r="F173" t="s">
        <v>14</v>
      </c>
      <c r="G173">
        <v>120</v>
      </c>
      <c r="H173">
        <v>2</v>
      </c>
      <c r="I173" s="16">
        <f t="shared" si="26"/>
        <v>240</v>
      </c>
      <c r="J173">
        <v>2</v>
      </c>
      <c r="K173">
        <f t="shared" si="27"/>
        <v>240</v>
      </c>
      <c r="L173">
        <f t="shared" si="33"/>
        <v>0</v>
      </c>
      <c r="M173">
        <f t="shared" si="28"/>
        <v>0</v>
      </c>
      <c r="N173">
        <f t="shared" si="29"/>
        <v>0</v>
      </c>
      <c r="O173">
        <f t="shared" si="30"/>
        <v>0</v>
      </c>
    </row>
    <row r="174" spans="1:18" hidden="1" x14ac:dyDescent="0.3">
      <c r="A174">
        <v>8148</v>
      </c>
      <c r="B174" t="s">
        <v>371</v>
      </c>
      <c r="C174" t="s">
        <v>271</v>
      </c>
      <c r="D174" t="s">
        <v>372</v>
      </c>
      <c r="E174" t="s">
        <v>13</v>
      </c>
      <c r="F174" t="s">
        <v>14</v>
      </c>
      <c r="G174">
        <v>120</v>
      </c>
      <c r="H174">
        <v>2</v>
      </c>
      <c r="I174" s="16">
        <f t="shared" si="26"/>
        <v>240</v>
      </c>
      <c r="J174">
        <v>2</v>
      </c>
      <c r="K174">
        <f t="shared" si="27"/>
        <v>240</v>
      </c>
      <c r="L174">
        <f t="shared" si="33"/>
        <v>0</v>
      </c>
      <c r="M174">
        <f t="shared" si="28"/>
        <v>0</v>
      </c>
      <c r="N174">
        <f t="shared" si="29"/>
        <v>0</v>
      </c>
      <c r="O174">
        <f t="shared" si="30"/>
        <v>0</v>
      </c>
    </row>
    <row r="175" spans="1:18" hidden="1" x14ac:dyDescent="0.3">
      <c r="A175">
        <v>919</v>
      </c>
      <c r="B175" t="s">
        <v>373</v>
      </c>
      <c r="C175" t="s">
        <v>271</v>
      </c>
      <c r="D175" t="s">
        <v>374</v>
      </c>
      <c r="E175" t="s">
        <v>13</v>
      </c>
      <c r="F175" t="s">
        <v>14</v>
      </c>
      <c r="G175">
        <v>130</v>
      </c>
      <c r="H175">
        <v>2</v>
      </c>
      <c r="I175" s="16">
        <f t="shared" si="26"/>
        <v>260</v>
      </c>
      <c r="J175">
        <v>2</v>
      </c>
      <c r="K175">
        <f t="shared" si="27"/>
        <v>260</v>
      </c>
      <c r="L175">
        <f t="shared" si="33"/>
        <v>0</v>
      </c>
      <c r="M175">
        <f t="shared" si="28"/>
        <v>0</v>
      </c>
      <c r="N175">
        <f t="shared" si="29"/>
        <v>0</v>
      </c>
      <c r="O175">
        <f t="shared" si="30"/>
        <v>0</v>
      </c>
    </row>
    <row r="176" spans="1:18" hidden="1" x14ac:dyDescent="0.3">
      <c r="A176">
        <v>7833</v>
      </c>
      <c r="B176" t="s">
        <v>375</v>
      </c>
      <c r="C176" t="s">
        <v>271</v>
      </c>
      <c r="D176" t="s">
        <v>376</v>
      </c>
      <c r="E176" t="s">
        <v>13</v>
      </c>
      <c r="F176" t="s">
        <v>14</v>
      </c>
      <c r="G176">
        <v>110</v>
      </c>
      <c r="H176">
        <v>2</v>
      </c>
      <c r="I176" s="16">
        <f t="shared" si="26"/>
        <v>220</v>
      </c>
      <c r="J176">
        <v>2</v>
      </c>
      <c r="K176">
        <f t="shared" si="27"/>
        <v>220</v>
      </c>
      <c r="L176">
        <f t="shared" si="33"/>
        <v>0</v>
      </c>
      <c r="M176">
        <f t="shared" si="28"/>
        <v>0</v>
      </c>
      <c r="N176">
        <f t="shared" si="29"/>
        <v>0</v>
      </c>
      <c r="O176">
        <f t="shared" si="30"/>
        <v>0</v>
      </c>
    </row>
    <row r="177" spans="1:18" hidden="1" x14ac:dyDescent="0.3">
      <c r="A177">
        <v>3287</v>
      </c>
      <c r="B177" t="s">
        <v>377</v>
      </c>
      <c r="C177" t="s">
        <v>271</v>
      </c>
      <c r="D177" t="s">
        <v>378</v>
      </c>
      <c r="E177" t="s">
        <v>13</v>
      </c>
      <c r="F177" t="s">
        <v>116</v>
      </c>
      <c r="G177">
        <v>150</v>
      </c>
      <c r="H177">
        <v>2</v>
      </c>
      <c r="I177" s="16">
        <f t="shared" si="26"/>
        <v>300</v>
      </c>
      <c r="J177">
        <v>2</v>
      </c>
      <c r="K177">
        <f t="shared" si="27"/>
        <v>300</v>
      </c>
      <c r="L177">
        <f t="shared" si="33"/>
        <v>0</v>
      </c>
      <c r="M177">
        <f t="shared" si="28"/>
        <v>0</v>
      </c>
      <c r="N177">
        <f t="shared" si="29"/>
        <v>0</v>
      </c>
      <c r="O177">
        <f t="shared" si="30"/>
        <v>0</v>
      </c>
    </row>
    <row r="178" spans="1:18" hidden="1" x14ac:dyDescent="0.3">
      <c r="A178">
        <v>3295</v>
      </c>
      <c r="B178" t="s">
        <v>379</v>
      </c>
      <c r="C178" t="s">
        <v>271</v>
      </c>
      <c r="D178" t="s">
        <v>380</v>
      </c>
      <c r="E178" t="s">
        <v>13</v>
      </c>
      <c r="F178" t="s">
        <v>44</v>
      </c>
      <c r="G178">
        <v>100</v>
      </c>
      <c r="H178">
        <v>2</v>
      </c>
      <c r="I178" s="16">
        <f t="shared" si="26"/>
        <v>200</v>
      </c>
      <c r="J178">
        <v>2</v>
      </c>
      <c r="K178">
        <f t="shared" si="27"/>
        <v>200</v>
      </c>
      <c r="L178">
        <f t="shared" si="33"/>
        <v>0</v>
      </c>
      <c r="M178">
        <f t="shared" si="28"/>
        <v>0</v>
      </c>
      <c r="N178">
        <f t="shared" si="29"/>
        <v>0</v>
      </c>
      <c r="O178">
        <f t="shared" si="30"/>
        <v>0</v>
      </c>
    </row>
    <row r="179" spans="1:18" hidden="1" x14ac:dyDescent="0.3">
      <c r="A179">
        <v>8233</v>
      </c>
      <c r="B179" t="s">
        <v>381</v>
      </c>
      <c r="C179" t="s">
        <v>271</v>
      </c>
      <c r="D179" t="s">
        <v>382</v>
      </c>
      <c r="E179" t="s">
        <v>13</v>
      </c>
      <c r="F179" t="s">
        <v>116</v>
      </c>
      <c r="G179">
        <v>90</v>
      </c>
      <c r="H179">
        <v>2</v>
      </c>
      <c r="I179" s="16">
        <f t="shared" si="26"/>
        <v>180</v>
      </c>
      <c r="J179">
        <v>2</v>
      </c>
      <c r="K179">
        <f t="shared" si="27"/>
        <v>180</v>
      </c>
      <c r="L179">
        <f t="shared" si="33"/>
        <v>0</v>
      </c>
      <c r="M179">
        <f t="shared" si="28"/>
        <v>0</v>
      </c>
      <c r="N179">
        <f t="shared" si="29"/>
        <v>0</v>
      </c>
      <c r="O179">
        <f t="shared" si="30"/>
        <v>0</v>
      </c>
    </row>
    <row r="180" spans="1:18" hidden="1" x14ac:dyDescent="0.3">
      <c r="A180">
        <v>7033</v>
      </c>
      <c r="B180" t="s">
        <v>383</v>
      </c>
      <c r="C180" t="s">
        <v>271</v>
      </c>
      <c r="D180" t="s">
        <v>384</v>
      </c>
      <c r="E180" t="s">
        <v>13</v>
      </c>
      <c r="F180" t="s">
        <v>14</v>
      </c>
      <c r="G180">
        <v>230</v>
      </c>
      <c r="H180">
        <v>2</v>
      </c>
      <c r="I180" s="16">
        <f t="shared" si="26"/>
        <v>460</v>
      </c>
      <c r="J180">
        <v>2</v>
      </c>
      <c r="K180">
        <f t="shared" si="27"/>
        <v>460</v>
      </c>
      <c r="L180">
        <f t="shared" si="33"/>
        <v>0</v>
      </c>
      <c r="M180">
        <f t="shared" si="28"/>
        <v>0</v>
      </c>
      <c r="N180">
        <f t="shared" si="29"/>
        <v>0</v>
      </c>
      <c r="O180">
        <f t="shared" si="30"/>
        <v>0</v>
      </c>
    </row>
    <row r="181" spans="1:18" ht="18.3" x14ac:dyDescent="0.4">
      <c r="A181">
        <v>3986</v>
      </c>
      <c r="B181" t="s">
        <v>385</v>
      </c>
      <c r="C181" t="s">
        <v>271</v>
      </c>
      <c r="D181" t="s">
        <v>386</v>
      </c>
      <c r="E181" t="s">
        <v>13</v>
      </c>
      <c r="F181" t="s">
        <v>14</v>
      </c>
      <c r="G181">
        <v>120</v>
      </c>
      <c r="H181">
        <v>2</v>
      </c>
      <c r="I181" s="16">
        <f t="shared" si="26"/>
        <v>240</v>
      </c>
      <c r="J181">
        <v>1</v>
      </c>
      <c r="K181">
        <f t="shared" si="27"/>
        <v>120</v>
      </c>
      <c r="L181">
        <f t="shared" si="33"/>
        <v>1</v>
      </c>
      <c r="M181">
        <f t="shared" si="28"/>
        <v>120</v>
      </c>
      <c r="N181">
        <f t="shared" si="29"/>
        <v>30</v>
      </c>
      <c r="O181">
        <f t="shared" si="30"/>
        <v>90</v>
      </c>
      <c r="R181" s="21" t="str">
        <f t="shared" ref="R181:R182" si="34">_xlfn.TEXTJOIN("  by ",TRUE,B180,C180)</f>
        <v>Thala Oru Thotta...!  by Devibala</v>
      </c>
    </row>
    <row r="182" spans="1:18" ht="18.3" x14ac:dyDescent="0.4">
      <c r="A182">
        <v>8229</v>
      </c>
      <c r="B182" t="s">
        <v>387</v>
      </c>
      <c r="C182" t="s">
        <v>271</v>
      </c>
      <c r="D182" t="s">
        <v>388</v>
      </c>
      <c r="E182" t="s">
        <v>13</v>
      </c>
      <c r="F182" t="s">
        <v>14</v>
      </c>
      <c r="G182">
        <v>120</v>
      </c>
      <c r="H182">
        <v>2</v>
      </c>
      <c r="I182" s="16">
        <f t="shared" si="26"/>
        <v>240</v>
      </c>
      <c r="J182">
        <v>1</v>
      </c>
      <c r="K182">
        <f t="shared" si="27"/>
        <v>120</v>
      </c>
      <c r="L182">
        <f t="shared" si="33"/>
        <v>1</v>
      </c>
      <c r="M182">
        <f t="shared" si="28"/>
        <v>120</v>
      </c>
      <c r="N182">
        <f t="shared" si="29"/>
        <v>30</v>
      </c>
      <c r="O182">
        <f t="shared" si="30"/>
        <v>90</v>
      </c>
      <c r="R182" s="21" t="str">
        <f t="shared" si="34"/>
        <v>Thalattuthe Vaanam!  by Devibala</v>
      </c>
    </row>
    <row r="183" spans="1:18" hidden="1" x14ac:dyDescent="0.3">
      <c r="A183">
        <v>3732</v>
      </c>
      <c r="B183" t="s">
        <v>389</v>
      </c>
      <c r="C183" t="s">
        <v>271</v>
      </c>
      <c r="D183" t="s">
        <v>390</v>
      </c>
      <c r="E183" t="s">
        <v>13</v>
      </c>
      <c r="F183" t="s">
        <v>44</v>
      </c>
      <c r="G183">
        <v>110</v>
      </c>
      <c r="H183">
        <v>2</v>
      </c>
      <c r="I183" s="16">
        <f t="shared" si="26"/>
        <v>220</v>
      </c>
      <c r="J183">
        <v>2</v>
      </c>
      <c r="K183">
        <f t="shared" si="27"/>
        <v>220</v>
      </c>
      <c r="L183">
        <f t="shared" si="33"/>
        <v>0</v>
      </c>
      <c r="M183">
        <f t="shared" si="28"/>
        <v>0</v>
      </c>
      <c r="N183">
        <f t="shared" si="29"/>
        <v>0</v>
      </c>
      <c r="O183">
        <f t="shared" si="30"/>
        <v>0</v>
      </c>
    </row>
    <row r="184" spans="1:18" hidden="1" x14ac:dyDescent="0.3">
      <c r="A184">
        <v>255</v>
      </c>
      <c r="B184" t="s">
        <v>391</v>
      </c>
      <c r="C184" t="s">
        <v>271</v>
      </c>
      <c r="D184" t="s">
        <v>392</v>
      </c>
      <c r="E184" t="s">
        <v>13</v>
      </c>
      <c r="F184" t="s">
        <v>123</v>
      </c>
      <c r="G184">
        <v>70</v>
      </c>
      <c r="H184">
        <v>2</v>
      </c>
      <c r="I184" s="16">
        <f t="shared" si="26"/>
        <v>140</v>
      </c>
      <c r="J184">
        <v>2</v>
      </c>
      <c r="K184">
        <f t="shared" si="27"/>
        <v>140</v>
      </c>
      <c r="L184">
        <f t="shared" si="33"/>
        <v>0</v>
      </c>
      <c r="M184">
        <f t="shared" si="28"/>
        <v>0</v>
      </c>
      <c r="N184">
        <f t="shared" si="29"/>
        <v>0</v>
      </c>
      <c r="O184">
        <f t="shared" si="30"/>
        <v>0</v>
      </c>
    </row>
    <row r="185" spans="1:18" hidden="1" x14ac:dyDescent="0.3">
      <c r="A185">
        <v>8684</v>
      </c>
      <c r="B185" t="s">
        <v>393</v>
      </c>
      <c r="C185" t="s">
        <v>271</v>
      </c>
      <c r="D185" t="s">
        <v>394</v>
      </c>
      <c r="E185" t="s">
        <v>13</v>
      </c>
      <c r="F185" t="s">
        <v>14</v>
      </c>
      <c r="G185">
        <v>120</v>
      </c>
      <c r="H185">
        <v>2</v>
      </c>
      <c r="I185" s="16">
        <f t="shared" si="26"/>
        <v>240</v>
      </c>
      <c r="J185">
        <v>2</v>
      </c>
      <c r="K185">
        <f t="shared" si="27"/>
        <v>240</v>
      </c>
      <c r="L185">
        <f t="shared" si="33"/>
        <v>0</v>
      </c>
      <c r="M185">
        <f t="shared" si="28"/>
        <v>0</v>
      </c>
      <c r="N185">
        <f t="shared" si="29"/>
        <v>0</v>
      </c>
      <c r="O185">
        <f t="shared" si="30"/>
        <v>0</v>
      </c>
    </row>
    <row r="186" spans="1:18" hidden="1" x14ac:dyDescent="0.3">
      <c r="A186">
        <v>7875</v>
      </c>
      <c r="B186" t="s">
        <v>395</v>
      </c>
      <c r="C186" t="s">
        <v>271</v>
      </c>
      <c r="D186" t="s">
        <v>396</v>
      </c>
      <c r="E186" t="s">
        <v>13</v>
      </c>
      <c r="F186" t="s">
        <v>14</v>
      </c>
      <c r="G186">
        <v>110</v>
      </c>
      <c r="H186">
        <v>2</v>
      </c>
      <c r="I186" s="16">
        <f t="shared" si="26"/>
        <v>220</v>
      </c>
      <c r="J186">
        <v>2</v>
      </c>
      <c r="K186">
        <f t="shared" si="27"/>
        <v>220</v>
      </c>
      <c r="L186">
        <f t="shared" si="33"/>
        <v>0</v>
      </c>
      <c r="M186">
        <f t="shared" si="28"/>
        <v>0</v>
      </c>
      <c r="N186">
        <f t="shared" si="29"/>
        <v>0</v>
      </c>
      <c r="O186">
        <f t="shared" si="30"/>
        <v>0</v>
      </c>
    </row>
    <row r="187" spans="1:18" ht="18.3" x14ac:dyDescent="0.4">
      <c r="A187">
        <v>313</v>
      </c>
      <c r="B187" t="s">
        <v>397</v>
      </c>
      <c r="C187" t="s">
        <v>271</v>
      </c>
      <c r="D187" t="s">
        <v>398</v>
      </c>
      <c r="E187" t="s">
        <v>13</v>
      </c>
      <c r="F187" t="s">
        <v>14</v>
      </c>
      <c r="G187">
        <v>250</v>
      </c>
      <c r="H187">
        <v>2</v>
      </c>
      <c r="I187" s="16">
        <f t="shared" si="26"/>
        <v>500</v>
      </c>
      <c r="J187">
        <v>1</v>
      </c>
      <c r="K187">
        <f t="shared" si="27"/>
        <v>250</v>
      </c>
      <c r="L187">
        <f t="shared" si="33"/>
        <v>1</v>
      </c>
      <c r="M187">
        <f t="shared" si="28"/>
        <v>250</v>
      </c>
      <c r="N187">
        <f t="shared" si="29"/>
        <v>62.5</v>
      </c>
      <c r="O187">
        <f t="shared" si="30"/>
        <v>187.5</v>
      </c>
      <c r="R187" s="21" t="str">
        <f>_xlfn.TEXTJOIN("  by ",TRUE,B186,C186)</f>
        <v>Uyir Ilavasam  by Devibala</v>
      </c>
    </row>
    <row r="188" spans="1:18" hidden="1" x14ac:dyDescent="0.3">
      <c r="A188">
        <v>8150</v>
      </c>
      <c r="B188" t="s">
        <v>399</v>
      </c>
      <c r="C188" t="s">
        <v>271</v>
      </c>
      <c r="D188" t="s">
        <v>400</v>
      </c>
      <c r="E188" t="s">
        <v>13</v>
      </c>
      <c r="F188" t="s">
        <v>14</v>
      </c>
      <c r="G188">
        <v>150</v>
      </c>
      <c r="H188">
        <v>2</v>
      </c>
      <c r="I188" s="16">
        <f t="shared" si="26"/>
        <v>300</v>
      </c>
      <c r="J188">
        <v>2</v>
      </c>
      <c r="K188">
        <f t="shared" si="27"/>
        <v>300</v>
      </c>
      <c r="L188">
        <f t="shared" si="33"/>
        <v>0</v>
      </c>
      <c r="M188">
        <f t="shared" si="28"/>
        <v>0</v>
      </c>
      <c r="N188">
        <f t="shared" si="29"/>
        <v>0</v>
      </c>
      <c r="O188">
        <f t="shared" si="30"/>
        <v>0</v>
      </c>
    </row>
    <row r="189" spans="1:18" hidden="1" x14ac:dyDescent="0.3">
      <c r="A189">
        <v>7832</v>
      </c>
      <c r="B189" t="s">
        <v>401</v>
      </c>
      <c r="C189" t="s">
        <v>271</v>
      </c>
      <c r="D189" t="s">
        <v>402</v>
      </c>
      <c r="E189" t="s">
        <v>13</v>
      </c>
      <c r="F189" t="s">
        <v>14</v>
      </c>
      <c r="G189">
        <v>110</v>
      </c>
      <c r="H189">
        <v>2</v>
      </c>
      <c r="I189" s="16">
        <f t="shared" si="26"/>
        <v>220</v>
      </c>
      <c r="J189">
        <v>2</v>
      </c>
      <c r="K189">
        <f t="shared" si="27"/>
        <v>220</v>
      </c>
      <c r="L189">
        <f t="shared" si="33"/>
        <v>0</v>
      </c>
      <c r="M189">
        <f t="shared" si="28"/>
        <v>0</v>
      </c>
      <c r="N189">
        <f t="shared" si="29"/>
        <v>0</v>
      </c>
      <c r="O189">
        <f t="shared" si="30"/>
        <v>0</v>
      </c>
    </row>
    <row r="190" spans="1:18" hidden="1" x14ac:dyDescent="0.3">
      <c r="A190">
        <v>121</v>
      </c>
      <c r="B190" t="s">
        <v>403</v>
      </c>
      <c r="C190" t="s">
        <v>271</v>
      </c>
      <c r="D190" t="s">
        <v>404</v>
      </c>
      <c r="E190" t="s">
        <v>13</v>
      </c>
      <c r="F190" t="s">
        <v>116</v>
      </c>
      <c r="G190">
        <v>160</v>
      </c>
      <c r="H190">
        <v>2</v>
      </c>
      <c r="I190" s="16">
        <f t="shared" si="26"/>
        <v>320</v>
      </c>
      <c r="J190">
        <v>2</v>
      </c>
      <c r="K190">
        <f t="shared" si="27"/>
        <v>320</v>
      </c>
      <c r="L190">
        <f t="shared" si="33"/>
        <v>0</v>
      </c>
      <c r="M190">
        <f t="shared" si="28"/>
        <v>0</v>
      </c>
      <c r="N190">
        <f t="shared" si="29"/>
        <v>0</v>
      </c>
      <c r="O190">
        <f t="shared" si="30"/>
        <v>0</v>
      </c>
    </row>
    <row r="191" spans="1:18" hidden="1" x14ac:dyDescent="0.3">
      <c r="A191">
        <v>8151</v>
      </c>
      <c r="B191" t="s">
        <v>405</v>
      </c>
      <c r="C191" t="s">
        <v>271</v>
      </c>
      <c r="D191" t="s">
        <v>406</v>
      </c>
      <c r="E191" t="s">
        <v>13</v>
      </c>
      <c r="F191" t="s">
        <v>14</v>
      </c>
      <c r="G191">
        <v>130</v>
      </c>
      <c r="H191">
        <v>2</v>
      </c>
      <c r="I191" s="16">
        <f t="shared" si="26"/>
        <v>260</v>
      </c>
      <c r="J191">
        <v>2</v>
      </c>
      <c r="K191">
        <f t="shared" si="27"/>
        <v>260</v>
      </c>
      <c r="L191">
        <f t="shared" si="33"/>
        <v>0</v>
      </c>
      <c r="M191">
        <f t="shared" si="28"/>
        <v>0</v>
      </c>
      <c r="N191">
        <f t="shared" si="29"/>
        <v>0</v>
      </c>
      <c r="O191">
        <f t="shared" si="30"/>
        <v>0</v>
      </c>
    </row>
    <row r="192" spans="1:18" hidden="1" x14ac:dyDescent="0.3">
      <c r="A192" s="2" t="s">
        <v>407</v>
      </c>
      <c r="B192" s="3" t="s">
        <v>408</v>
      </c>
      <c r="C192" t="s">
        <v>271</v>
      </c>
      <c r="D192" t="s">
        <v>409</v>
      </c>
      <c r="E192" t="s">
        <v>13</v>
      </c>
      <c r="F192" t="s">
        <v>410</v>
      </c>
      <c r="G192">
        <v>110</v>
      </c>
      <c r="H192">
        <v>2</v>
      </c>
      <c r="I192" s="16">
        <f t="shared" si="26"/>
        <v>220</v>
      </c>
      <c r="J192">
        <v>2</v>
      </c>
      <c r="K192">
        <f t="shared" si="27"/>
        <v>220</v>
      </c>
      <c r="L192">
        <f t="shared" si="33"/>
        <v>0</v>
      </c>
      <c r="M192">
        <f t="shared" si="28"/>
        <v>0</v>
      </c>
      <c r="N192">
        <f t="shared" si="29"/>
        <v>0</v>
      </c>
      <c r="O192">
        <f t="shared" si="30"/>
        <v>0</v>
      </c>
    </row>
    <row r="193" spans="1:18" hidden="1" x14ac:dyDescent="0.3">
      <c r="A193">
        <v>6635</v>
      </c>
      <c r="B193" s="4" t="s">
        <v>411</v>
      </c>
      <c r="C193" t="s">
        <v>271</v>
      </c>
      <c r="D193" s="5" t="s">
        <v>412</v>
      </c>
      <c r="E193" t="s">
        <v>13</v>
      </c>
      <c r="F193" t="s">
        <v>410</v>
      </c>
      <c r="G193">
        <v>90</v>
      </c>
      <c r="H193">
        <v>2</v>
      </c>
      <c r="I193" s="16">
        <f t="shared" si="26"/>
        <v>180</v>
      </c>
      <c r="J193">
        <v>2</v>
      </c>
      <c r="K193">
        <f t="shared" si="27"/>
        <v>180</v>
      </c>
      <c r="L193">
        <f t="shared" si="33"/>
        <v>0</v>
      </c>
      <c r="M193">
        <f t="shared" si="28"/>
        <v>0</v>
      </c>
      <c r="N193">
        <f t="shared" si="29"/>
        <v>0</v>
      </c>
      <c r="O193">
        <f t="shared" si="30"/>
        <v>0</v>
      </c>
    </row>
    <row r="194" spans="1:18" hidden="1" x14ac:dyDescent="0.3">
      <c r="A194">
        <v>6631</v>
      </c>
      <c r="B194" s="3" t="s">
        <v>413</v>
      </c>
      <c r="C194" t="s">
        <v>271</v>
      </c>
      <c r="D194" s="5" t="s">
        <v>414</v>
      </c>
      <c r="E194" t="s">
        <v>13</v>
      </c>
      <c r="F194" t="s">
        <v>410</v>
      </c>
      <c r="G194">
        <v>150</v>
      </c>
      <c r="H194">
        <v>2</v>
      </c>
      <c r="I194" s="16">
        <f t="shared" si="26"/>
        <v>300</v>
      </c>
      <c r="J194">
        <v>2</v>
      </c>
      <c r="K194">
        <f t="shared" si="27"/>
        <v>300</v>
      </c>
      <c r="L194">
        <f t="shared" si="33"/>
        <v>0</v>
      </c>
      <c r="M194">
        <f t="shared" si="28"/>
        <v>0</v>
      </c>
      <c r="N194">
        <f t="shared" si="29"/>
        <v>0</v>
      </c>
      <c r="O194">
        <f t="shared" si="30"/>
        <v>0</v>
      </c>
    </row>
    <row r="195" spans="1:18" hidden="1" x14ac:dyDescent="0.3">
      <c r="A195">
        <v>11491</v>
      </c>
      <c r="B195" t="s">
        <v>415</v>
      </c>
      <c r="C195" t="s">
        <v>416</v>
      </c>
      <c r="D195" t="s">
        <v>417</v>
      </c>
      <c r="E195" t="s">
        <v>13</v>
      </c>
      <c r="F195" t="s">
        <v>39</v>
      </c>
      <c r="G195">
        <v>240</v>
      </c>
      <c r="H195">
        <v>2</v>
      </c>
      <c r="I195" s="16">
        <f t="shared" ref="I195:I258" si="35">H195*G195</f>
        <v>480</v>
      </c>
      <c r="J195">
        <v>2</v>
      </c>
      <c r="K195">
        <f t="shared" ref="K195:K258" si="36">J195*G195</f>
        <v>480</v>
      </c>
      <c r="L195">
        <f t="shared" si="33"/>
        <v>0</v>
      </c>
      <c r="M195">
        <f t="shared" ref="M195:M258" si="37">L195*G195</f>
        <v>0</v>
      </c>
      <c r="N195">
        <f t="shared" ref="N195:N258" si="38">M195*0.25</f>
        <v>0</v>
      </c>
      <c r="O195">
        <f t="shared" ref="O195:O258" si="39">M195-N195</f>
        <v>0</v>
      </c>
    </row>
    <row r="196" spans="1:18" hidden="1" x14ac:dyDescent="0.3">
      <c r="A196">
        <v>11588</v>
      </c>
      <c r="B196" t="s">
        <v>418</v>
      </c>
      <c r="C196" t="s">
        <v>416</v>
      </c>
      <c r="D196" t="s">
        <v>419</v>
      </c>
      <c r="E196" t="s">
        <v>13</v>
      </c>
      <c r="F196" t="s">
        <v>116</v>
      </c>
      <c r="G196">
        <v>120</v>
      </c>
      <c r="H196">
        <v>2</v>
      </c>
      <c r="I196" s="16">
        <f t="shared" si="35"/>
        <v>240</v>
      </c>
      <c r="J196">
        <v>2</v>
      </c>
      <c r="K196">
        <f t="shared" si="36"/>
        <v>240</v>
      </c>
      <c r="L196">
        <f t="shared" si="33"/>
        <v>0</v>
      </c>
      <c r="M196">
        <f t="shared" si="37"/>
        <v>0</v>
      </c>
      <c r="N196">
        <f t="shared" si="38"/>
        <v>0</v>
      </c>
      <c r="O196">
        <f t="shared" si="39"/>
        <v>0</v>
      </c>
    </row>
    <row r="197" spans="1:18" ht="18.3" x14ac:dyDescent="0.4">
      <c r="A197">
        <v>12677</v>
      </c>
      <c r="B197" t="s">
        <v>420</v>
      </c>
      <c r="C197" t="s">
        <v>416</v>
      </c>
      <c r="D197" t="s">
        <v>421</v>
      </c>
      <c r="E197" t="s">
        <v>13</v>
      </c>
      <c r="F197" t="s">
        <v>39</v>
      </c>
      <c r="G197">
        <v>100</v>
      </c>
      <c r="H197">
        <v>2</v>
      </c>
      <c r="I197" s="16">
        <f t="shared" si="35"/>
        <v>200</v>
      </c>
      <c r="J197">
        <v>1</v>
      </c>
      <c r="K197">
        <f t="shared" si="36"/>
        <v>100</v>
      </c>
      <c r="L197">
        <f t="shared" si="33"/>
        <v>1</v>
      </c>
      <c r="M197">
        <f t="shared" si="37"/>
        <v>100</v>
      </c>
      <c r="N197">
        <f t="shared" si="38"/>
        <v>25</v>
      </c>
      <c r="O197">
        <f t="shared" si="39"/>
        <v>75</v>
      </c>
      <c r="R197" s="21" t="str">
        <f>_xlfn.TEXTJOIN("  by ",TRUE,B196,C196)</f>
        <v>Idhu Enna Maayam?  by Director Manibharathi</v>
      </c>
    </row>
    <row r="198" spans="1:18" hidden="1" x14ac:dyDescent="0.3">
      <c r="A198">
        <v>12679</v>
      </c>
      <c r="B198" t="s">
        <v>422</v>
      </c>
      <c r="C198" t="s">
        <v>416</v>
      </c>
      <c r="D198" t="s">
        <v>423</v>
      </c>
      <c r="E198" t="s">
        <v>13</v>
      </c>
      <c r="F198" t="s">
        <v>44</v>
      </c>
      <c r="G198">
        <v>120</v>
      </c>
      <c r="H198">
        <v>2</v>
      </c>
      <c r="I198" s="16">
        <f t="shared" si="35"/>
        <v>240</v>
      </c>
      <c r="J198">
        <v>2</v>
      </c>
      <c r="K198">
        <f t="shared" si="36"/>
        <v>240</v>
      </c>
      <c r="L198">
        <f t="shared" si="33"/>
        <v>0</v>
      </c>
      <c r="M198">
        <f t="shared" si="37"/>
        <v>0</v>
      </c>
      <c r="N198">
        <f t="shared" si="38"/>
        <v>0</v>
      </c>
      <c r="O198">
        <f t="shared" si="39"/>
        <v>0</v>
      </c>
    </row>
    <row r="199" spans="1:18" hidden="1" x14ac:dyDescent="0.3">
      <c r="A199">
        <v>11587</v>
      </c>
      <c r="B199" t="s">
        <v>424</v>
      </c>
      <c r="C199" t="s">
        <v>416</v>
      </c>
      <c r="D199" t="s">
        <v>425</v>
      </c>
      <c r="E199" t="s">
        <v>13</v>
      </c>
      <c r="F199" t="s">
        <v>39</v>
      </c>
      <c r="G199">
        <v>110</v>
      </c>
      <c r="H199">
        <v>2</v>
      </c>
      <c r="I199" s="16">
        <f t="shared" si="35"/>
        <v>220</v>
      </c>
      <c r="J199">
        <v>2</v>
      </c>
      <c r="K199">
        <f t="shared" si="36"/>
        <v>220</v>
      </c>
      <c r="L199">
        <f t="shared" si="33"/>
        <v>0</v>
      </c>
      <c r="M199">
        <f t="shared" si="37"/>
        <v>0</v>
      </c>
      <c r="N199">
        <f t="shared" si="38"/>
        <v>0</v>
      </c>
      <c r="O199">
        <f t="shared" si="39"/>
        <v>0</v>
      </c>
    </row>
    <row r="200" spans="1:18" hidden="1" x14ac:dyDescent="0.3">
      <c r="A200">
        <v>12678</v>
      </c>
      <c r="B200" t="s">
        <v>426</v>
      </c>
      <c r="C200" t="s">
        <v>416</v>
      </c>
      <c r="D200" t="s">
        <v>427</v>
      </c>
      <c r="E200" t="s">
        <v>13</v>
      </c>
      <c r="F200" t="s">
        <v>14</v>
      </c>
      <c r="G200">
        <v>120</v>
      </c>
      <c r="H200">
        <v>2</v>
      </c>
      <c r="I200" s="16">
        <f t="shared" si="35"/>
        <v>240</v>
      </c>
      <c r="J200">
        <v>2</v>
      </c>
      <c r="K200">
        <f t="shared" si="36"/>
        <v>240</v>
      </c>
      <c r="L200">
        <f t="shared" si="33"/>
        <v>0</v>
      </c>
      <c r="M200">
        <f t="shared" si="37"/>
        <v>0</v>
      </c>
      <c r="N200">
        <f t="shared" si="38"/>
        <v>0</v>
      </c>
      <c r="O200">
        <f t="shared" si="39"/>
        <v>0</v>
      </c>
    </row>
    <row r="201" spans="1:18" hidden="1" x14ac:dyDescent="0.3">
      <c r="A201">
        <v>12676</v>
      </c>
      <c r="B201" t="s">
        <v>428</v>
      </c>
      <c r="C201" t="s">
        <v>416</v>
      </c>
      <c r="D201" t="s">
        <v>429</v>
      </c>
      <c r="E201" t="s">
        <v>13</v>
      </c>
      <c r="F201" t="s">
        <v>14</v>
      </c>
      <c r="G201">
        <v>120</v>
      </c>
      <c r="H201">
        <v>2</v>
      </c>
      <c r="I201" s="16">
        <f t="shared" si="35"/>
        <v>240</v>
      </c>
      <c r="J201">
        <v>2</v>
      </c>
      <c r="K201">
        <f t="shared" si="36"/>
        <v>240</v>
      </c>
      <c r="L201">
        <f t="shared" si="33"/>
        <v>0</v>
      </c>
      <c r="M201">
        <f t="shared" si="37"/>
        <v>0</v>
      </c>
      <c r="N201">
        <f t="shared" si="38"/>
        <v>0</v>
      </c>
      <c r="O201">
        <f t="shared" si="39"/>
        <v>0</v>
      </c>
    </row>
    <row r="202" spans="1:18" hidden="1" x14ac:dyDescent="0.3">
      <c r="A202">
        <v>9450</v>
      </c>
      <c r="B202" t="s">
        <v>430</v>
      </c>
      <c r="C202" t="s">
        <v>431</v>
      </c>
      <c r="D202" t="s">
        <v>432</v>
      </c>
      <c r="E202" t="s">
        <v>13</v>
      </c>
      <c r="F202" t="s">
        <v>44</v>
      </c>
      <c r="G202" s="6">
        <v>140</v>
      </c>
      <c r="H202">
        <v>2</v>
      </c>
      <c r="I202" s="16">
        <f t="shared" si="35"/>
        <v>280</v>
      </c>
      <c r="J202">
        <v>2</v>
      </c>
      <c r="K202">
        <f t="shared" si="36"/>
        <v>280</v>
      </c>
      <c r="L202">
        <f t="shared" si="33"/>
        <v>0</v>
      </c>
      <c r="M202">
        <f t="shared" si="37"/>
        <v>0</v>
      </c>
      <c r="N202">
        <f t="shared" si="38"/>
        <v>0</v>
      </c>
      <c r="O202">
        <f t="shared" si="39"/>
        <v>0</v>
      </c>
    </row>
    <row r="203" spans="1:18" hidden="1" x14ac:dyDescent="0.3">
      <c r="A203">
        <v>3906</v>
      </c>
      <c r="B203" t="s">
        <v>433</v>
      </c>
      <c r="C203" t="s">
        <v>431</v>
      </c>
      <c r="D203" t="s">
        <v>434</v>
      </c>
      <c r="E203" t="s">
        <v>13</v>
      </c>
      <c r="F203" t="s">
        <v>44</v>
      </c>
      <c r="G203">
        <v>150</v>
      </c>
      <c r="H203">
        <v>2</v>
      </c>
      <c r="I203" s="16">
        <f t="shared" si="35"/>
        <v>300</v>
      </c>
      <c r="J203">
        <v>2</v>
      </c>
      <c r="K203">
        <f t="shared" si="36"/>
        <v>300</v>
      </c>
      <c r="L203">
        <f t="shared" si="33"/>
        <v>0</v>
      </c>
      <c r="M203">
        <f t="shared" si="37"/>
        <v>0</v>
      </c>
      <c r="N203">
        <f t="shared" si="38"/>
        <v>0</v>
      </c>
      <c r="O203">
        <f t="shared" si="39"/>
        <v>0</v>
      </c>
    </row>
    <row r="204" spans="1:18" hidden="1" x14ac:dyDescent="0.3">
      <c r="A204">
        <v>9451</v>
      </c>
      <c r="B204" t="s">
        <v>435</v>
      </c>
      <c r="C204" t="s">
        <v>431</v>
      </c>
      <c r="D204" t="s">
        <v>436</v>
      </c>
      <c r="E204" t="s">
        <v>13</v>
      </c>
      <c r="F204" t="s">
        <v>44</v>
      </c>
      <c r="G204" s="6">
        <v>140</v>
      </c>
      <c r="H204">
        <v>2</v>
      </c>
      <c r="I204" s="16">
        <f t="shared" si="35"/>
        <v>280</v>
      </c>
      <c r="J204">
        <v>2</v>
      </c>
      <c r="K204">
        <f t="shared" si="36"/>
        <v>280</v>
      </c>
      <c r="L204">
        <f t="shared" si="33"/>
        <v>0</v>
      </c>
      <c r="M204">
        <f t="shared" si="37"/>
        <v>0</v>
      </c>
      <c r="N204">
        <f t="shared" si="38"/>
        <v>0</v>
      </c>
      <c r="O204">
        <f t="shared" si="39"/>
        <v>0</v>
      </c>
    </row>
    <row r="205" spans="1:18" hidden="1" x14ac:dyDescent="0.3">
      <c r="A205">
        <v>9145</v>
      </c>
      <c r="B205" t="s">
        <v>437</v>
      </c>
      <c r="C205" t="s">
        <v>431</v>
      </c>
      <c r="D205" t="s">
        <v>438</v>
      </c>
      <c r="E205" t="s">
        <v>13</v>
      </c>
      <c r="F205" t="s">
        <v>44</v>
      </c>
      <c r="G205">
        <v>240</v>
      </c>
      <c r="H205">
        <v>2</v>
      </c>
      <c r="I205" s="16">
        <f t="shared" si="35"/>
        <v>480</v>
      </c>
      <c r="J205">
        <v>2</v>
      </c>
      <c r="K205">
        <f t="shared" si="36"/>
        <v>480</v>
      </c>
      <c r="L205">
        <f t="shared" si="33"/>
        <v>0</v>
      </c>
      <c r="M205">
        <f t="shared" si="37"/>
        <v>0</v>
      </c>
      <c r="N205">
        <f t="shared" si="38"/>
        <v>0</v>
      </c>
      <c r="O205">
        <f t="shared" si="39"/>
        <v>0</v>
      </c>
    </row>
    <row r="206" spans="1:18" hidden="1" x14ac:dyDescent="0.3">
      <c r="A206">
        <v>7068</v>
      </c>
      <c r="B206" t="s">
        <v>439</v>
      </c>
      <c r="C206" t="s">
        <v>431</v>
      </c>
      <c r="D206" t="s">
        <v>440</v>
      </c>
      <c r="E206" t="s">
        <v>13</v>
      </c>
      <c r="F206" t="s">
        <v>441</v>
      </c>
      <c r="G206">
        <v>130</v>
      </c>
      <c r="H206">
        <v>2</v>
      </c>
      <c r="I206" s="16">
        <f t="shared" si="35"/>
        <v>260</v>
      </c>
      <c r="J206">
        <v>2</v>
      </c>
      <c r="K206">
        <f t="shared" si="36"/>
        <v>260</v>
      </c>
      <c r="L206">
        <f t="shared" si="33"/>
        <v>0</v>
      </c>
      <c r="M206">
        <f t="shared" si="37"/>
        <v>0</v>
      </c>
      <c r="N206">
        <f t="shared" si="38"/>
        <v>0</v>
      </c>
      <c r="O206">
        <f t="shared" si="39"/>
        <v>0</v>
      </c>
    </row>
    <row r="207" spans="1:18" hidden="1" x14ac:dyDescent="0.3">
      <c r="A207">
        <v>9452</v>
      </c>
      <c r="B207" t="s">
        <v>442</v>
      </c>
      <c r="C207" t="s">
        <v>431</v>
      </c>
      <c r="D207" t="s">
        <v>443</v>
      </c>
      <c r="E207" t="s">
        <v>13</v>
      </c>
      <c r="F207" t="s">
        <v>44</v>
      </c>
      <c r="G207">
        <v>200</v>
      </c>
      <c r="H207">
        <v>2</v>
      </c>
      <c r="I207" s="16">
        <f t="shared" si="35"/>
        <v>400</v>
      </c>
      <c r="J207">
        <v>2</v>
      </c>
      <c r="K207">
        <f t="shared" si="36"/>
        <v>400</v>
      </c>
      <c r="L207">
        <f t="shared" si="33"/>
        <v>0</v>
      </c>
      <c r="M207">
        <f t="shared" si="37"/>
        <v>0</v>
      </c>
      <c r="N207">
        <f t="shared" si="38"/>
        <v>0</v>
      </c>
      <c r="O207">
        <f t="shared" si="39"/>
        <v>0</v>
      </c>
    </row>
    <row r="208" spans="1:18" ht="18.3" x14ac:dyDescent="0.4">
      <c r="A208">
        <v>11358</v>
      </c>
      <c r="B208" t="s">
        <v>444</v>
      </c>
      <c r="C208" t="s">
        <v>445</v>
      </c>
      <c r="D208" t="s">
        <v>446</v>
      </c>
      <c r="E208" t="s">
        <v>447</v>
      </c>
      <c r="F208" t="s">
        <v>130</v>
      </c>
      <c r="G208">
        <v>110</v>
      </c>
      <c r="H208">
        <v>2</v>
      </c>
      <c r="I208" s="16">
        <f t="shared" si="35"/>
        <v>220</v>
      </c>
      <c r="J208">
        <v>0</v>
      </c>
      <c r="K208">
        <f t="shared" si="36"/>
        <v>0</v>
      </c>
      <c r="L208">
        <f t="shared" si="33"/>
        <v>2</v>
      </c>
      <c r="M208">
        <f t="shared" si="37"/>
        <v>220</v>
      </c>
      <c r="N208">
        <f t="shared" si="38"/>
        <v>55</v>
      </c>
      <c r="O208">
        <f t="shared" si="39"/>
        <v>165</v>
      </c>
      <c r="R208" s="21" t="str">
        <f t="shared" ref="R208:R211" si="40">_xlfn.TEXTJOIN("  by ",TRUE,B207,C207)</f>
        <v>Kinatrukkul Cauvery  by Dr. J. Bhaskaran</v>
      </c>
    </row>
    <row r="209" spans="1:18" ht="18.3" x14ac:dyDescent="0.4">
      <c r="A209">
        <v>12020</v>
      </c>
      <c r="B209" t="s">
        <v>448</v>
      </c>
      <c r="C209" t="s">
        <v>445</v>
      </c>
      <c r="D209" t="s">
        <v>449</v>
      </c>
      <c r="E209" t="s">
        <v>447</v>
      </c>
      <c r="F209" t="s">
        <v>450</v>
      </c>
      <c r="G209">
        <v>100</v>
      </c>
      <c r="H209">
        <v>2</v>
      </c>
      <c r="I209" s="16">
        <f t="shared" si="35"/>
        <v>200</v>
      </c>
      <c r="J209">
        <v>0</v>
      </c>
      <c r="K209">
        <f t="shared" si="36"/>
        <v>0</v>
      </c>
      <c r="L209">
        <f t="shared" si="33"/>
        <v>2</v>
      </c>
      <c r="M209">
        <f t="shared" si="37"/>
        <v>200</v>
      </c>
      <c r="N209">
        <f t="shared" si="38"/>
        <v>50</v>
      </c>
      <c r="O209">
        <f t="shared" si="39"/>
        <v>150</v>
      </c>
      <c r="R209" s="21" t="str">
        <f t="shared" si="40"/>
        <v>A Few Minutes with Newton  by Dr. R. Prabakaran</v>
      </c>
    </row>
    <row r="210" spans="1:18" ht="18.3" x14ac:dyDescent="0.4">
      <c r="A210">
        <v>7373</v>
      </c>
      <c r="B210" t="s">
        <v>451</v>
      </c>
      <c r="C210" t="s">
        <v>445</v>
      </c>
      <c r="D210" t="s">
        <v>452</v>
      </c>
      <c r="E210" t="s">
        <v>13</v>
      </c>
      <c r="F210" t="s">
        <v>450</v>
      </c>
      <c r="G210">
        <v>110</v>
      </c>
      <c r="H210">
        <v>2</v>
      </c>
      <c r="I210" s="16">
        <f t="shared" si="35"/>
        <v>220</v>
      </c>
      <c r="J210">
        <v>0</v>
      </c>
      <c r="K210">
        <f t="shared" si="36"/>
        <v>0</v>
      </c>
      <c r="L210">
        <f t="shared" si="33"/>
        <v>2</v>
      </c>
      <c r="M210">
        <f t="shared" si="37"/>
        <v>220</v>
      </c>
      <c r="N210">
        <f t="shared" si="38"/>
        <v>55</v>
      </c>
      <c r="O210">
        <f t="shared" si="39"/>
        <v>165</v>
      </c>
      <c r="R210" s="21" t="str">
        <f t="shared" si="40"/>
        <v>A Few Minutes With Srinivasa Ramanujan  by Dr. R. Prabakaran</v>
      </c>
    </row>
    <row r="211" spans="1:18" ht="18.3" x14ac:dyDescent="0.4">
      <c r="A211">
        <v>7372</v>
      </c>
      <c r="B211" t="s">
        <v>453</v>
      </c>
      <c r="C211" t="s">
        <v>445</v>
      </c>
      <c r="D211" t="s">
        <v>454</v>
      </c>
      <c r="E211" t="s">
        <v>13</v>
      </c>
      <c r="F211" t="s">
        <v>450</v>
      </c>
      <c r="G211">
        <v>120</v>
      </c>
      <c r="H211">
        <v>2</v>
      </c>
      <c r="I211" s="16">
        <f t="shared" si="35"/>
        <v>240</v>
      </c>
      <c r="J211">
        <v>0</v>
      </c>
      <c r="K211">
        <f t="shared" si="36"/>
        <v>0</v>
      </c>
      <c r="L211">
        <f t="shared" si="33"/>
        <v>2</v>
      </c>
      <c r="M211">
        <f t="shared" si="37"/>
        <v>240</v>
      </c>
      <c r="N211">
        <f t="shared" si="38"/>
        <v>60</v>
      </c>
      <c r="O211">
        <f t="shared" si="39"/>
        <v>180</v>
      </c>
      <c r="R211" s="21" t="str">
        <f t="shared" si="40"/>
        <v>Pesum Kanitham  by Dr. R. Prabakaran</v>
      </c>
    </row>
    <row r="212" spans="1:18" hidden="1" x14ac:dyDescent="0.3">
      <c r="A212">
        <v>4347</v>
      </c>
      <c r="B212" t="s">
        <v>455</v>
      </c>
      <c r="C212" t="s">
        <v>456</v>
      </c>
      <c r="D212" t="s">
        <v>457</v>
      </c>
      <c r="E212" t="s">
        <v>13</v>
      </c>
      <c r="F212" t="s">
        <v>44</v>
      </c>
      <c r="G212">
        <v>300</v>
      </c>
      <c r="H212">
        <v>2</v>
      </c>
      <c r="I212" s="16">
        <f t="shared" si="35"/>
        <v>600</v>
      </c>
      <c r="J212">
        <v>2</v>
      </c>
      <c r="K212">
        <f t="shared" si="36"/>
        <v>600</v>
      </c>
      <c r="L212">
        <f t="shared" si="33"/>
        <v>0</v>
      </c>
      <c r="M212">
        <f t="shared" si="37"/>
        <v>0</v>
      </c>
      <c r="N212">
        <f t="shared" si="38"/>
        <v>0</v>
      </c>
      <c r="O212">
        <f t="shared" si="39"/>
        <v>0</v>
      </c>
    </row>
    <row r="213" spans="1:18" hidden="1" x14ac:dyDescent="0.3">
      <c r="A213">
        <v>8632</v>
      </c>
      <c r="B213" t="s">
        <v>458</v>
      </c>
      <c r="C213" t="s">
        <v>459</v>
      </c>
      <c r="D213" t="s">
        <v>460</v>
      </c>
      <c r="E213" t="s">
        <v>13</v>
      </c>
      <c r="F213" t="s">
        <v>44</v>
      </c>
      <c r="G213">
        <v>110</v>
      </c>
      <c r="H213">
        <v>2</v>
      </c>
      <c r="I213" s="16">
        <f t="shared" si="35"/>
        <v>220</v>
      </c>
      <c r="J213">
        <v>2</v>
      </c>
      <c r="K213">
        <f t="shared" si="36"/>
        <v>220</v>
      </c>
      <c r="L213">
        <f t="shared" si="33"/>
        <v>0</v>
      </c>
      <c r="M213">
        <f t="shared" si="37"/>
        <v>0</v>
      </c>
      <c r="N213">
        <f t="shared" si="38"/>
        <v>0</v>
      </c>
      <c r="O213">
        <f t="shared" si="39"/>
        <v>0</v>
      </c>
    </row>
    <row r="214" spans="1:18" hidden="1" x14ac:dyDescent="0.3">
      <c r="A214">
        <v>7713</v>
      </c>
      <c r="B214" t="s">
        <v>461</v>
      </c>
      <c r="C214" t="s">
        <v>459</v>
      </c>
      <c r="D214" t="s">
        <v>462</v>
      </c>
      <c r="E214" t="s">
        <v>13</v>
      </c>
      <c r="F214" t="s">
        <v>463</v>
      </c>
      <c r="G214">
        <v>160</v>
      </c>
      <c r="H214">
        <v>2</v>
      </c>
      <c r="I214" s="16">
        <f t="shared" si="35"/>
        <v>320</v>
      </c>
      <c r="J214">
        <v>2</v>
      </c>
      <c r="K214">
        <f t="shared" si="36"/>
        <v>320</v>
      </c>
      <c r="L214">
        <f t="shared" si="33"/>
        <v>0</v>
      </c>
      <c r="M214">
        <f t="shared" si="37"/>
        <v>0</v>
      </c>
      <c r="N214">
        <f t="shared" si="38"/>
        <v>0</v>
      </c>
      <c r="O214">
        <f t="shared" si="39"/>
        <v>0</v>
      </c>
    </row>
    <row r="215" spans="1:18" hidden="1" x14ac:dyDescent="0.3">
      <c r="A215">
        <v>9722</v>
      </c>
      <c r="B215" t="s">
        <v>464</v>
      </c>
      <c r="C215" t="s">
        <v>459</v>
      </c>
      <c r="D215" t="s">
        <v>465</v>
      </c>
      <c r="E215" t="s">
        <v>13</v>
      </c>
      <c r="F215" t="s">
        <v>466</v>
      </c>
      <c r="G215">
        <v>190</v>
      </c>
      <c r="H215">
        <v>2</v>
      </c>
      <c r="I215" s="16">
        <f t="shared" si="35"/>
        <v>380</v>
      </c>
      <c r="J215">
        <v>2</v>
      </c>
      <c r="K215">
        <f t="shared" si="36"/>
        <v>380</v>
      </c>
      <c r="L215">
        <f t="shared" si="33"/>
        <v>0</v>
      </c>
      <c r="M215">
        <f t="shared" si="37"/>
        <v>0</v>
      </c>
      <c r="N215">
        <f t="shared" si="38"/>
        <v>0</v>
      </c>
      <c r="O215">
        <f t="shared" si="39"/>
        <v>0</v>
      </c>
    </row>
    <row r="216" spans="1:18" hidden="1" x14ac:dyDescent="0.3">
      <c r="A216">
        <v>9263</v>
      </c>
      <c r="B216" t="s">
        <v>467</v>
      </c>
      <c r="C216" t="s">
        <v>459</v>
      </c>
      <c r="D216" t="s">
        <v>468</v>
      </c>
      <c r="E216" t="s">
        <v>13</v>
      </c>
      <c r="F216" t="s">
        <v>466</v>
      </c>
      <c r="G216">
        <v>140</v>
      </c>
      <c r="H216">
        <v>2</v>
      </c>
      <c r="I216" s="16">
        <f t="shared" si="35"/>
        <v>280</v>
      </c>
      <c r="J216">
        <v>2</v>
      </c>
      <c r="K216">
        <f t="shared" si="36"/>
        <v>280</v>
      </c>
      <c r="L216">
        <f t="shared" si="33"/>
        <v>0</v>
      </c>
      <c r="M216">
        <f t="shared" si="37"/>
        <v>0</v>
      </c>
      <c r="N216">
        <f t="shared" si="38"/>
        <v>0</v>
      </c>
      <c r="O216">
        <f t="shared" si="39"/>
        <v>0</v>
      </c>
    </row>
    <row r="217" spans="1:18" hidden="1" x14ac:dyDescent="0.3">
      <c r="A217">
        <v>8153</v>
      </c>
      <c r="B217" t="s">
        <v>469</v>
      </c>
      <c r="C217" t="s">
        <v>459</v>
      </c>
      <c r="D217" t="s">
        <v>470</v>
      </c>
      <c r="E217" t="s">
        <v>13</v>
      </c>
      <c r="F217" t="s">
        <v>466</v>
      </c>
      <c r="G217">
        <v>90</v>
      </c>
      <c r="H217">
        <v>2</v>
      </c>
      <c r="I217" s="16">
        <f t="shared" si="35"/>
        <v>180</v>
      </c>
      <c r="J217">
        <v>2</v>
      </c>
      <c r="K217">
        <f t="shared" si="36"/>
        <v>180</v>
      </c>
      <c r="L217">
        <f t="shared" si="33"/>
        <v>0</v>
      </c>
      <c r="M217">
        <f t="shared" si="37"/>
        <v>0</v>
      </c>
      <c r="N217">
        <f t="shared" si="38"/>
        <v>0</v>
      </c>
      <c r="O217">
        <f t="shared" si="39"/>
        <v>0</v>
      </c>
    </row>
    <row r="218" spans="1:18" hidden="1" x14ac:dyDescent="0.3">
      <c r="A218">
        <v>10599</v>
      </c>
      <c r="B218" t="s">
        <v>471</v>
      </c>
      <c r="C218" t="s">
        <v>459</v>
      </c>
      <c r="D218" t="s">
        <v>472</v>
      </c>
      <c r="E218" t="s">
        <v>13</v>
      </c>
      <c r="F218" t="s">
        <v>466</v>
      </c>
      <c r="G218">
        <v>130</v>
      </c>
      <c r="H218">
        <v>2</v>
      </c>
      <c r="I218" s="16">
        <f t="shared" si="35"/>
        <v>260</v>
      </c>
      <c r="J218">
        <v>2</v>
      </c>
      <c r="K218">
        <f t="shared" si="36"/>
        <v>260</v>
      </c>
      <c r="L218">
        <f t="shared" si="33"/>
        <v>0</v>
      </c>
      <c r="M218">
        <f t="shared" si="37"/>
        <v>0</v>
      </c>
      <c r="N218">
        <f t="shared" si="38"/>
        <v>0</v>
      </c>
      <c r="O218">
        <f t="shared" si="39"/>
        <v>0</v>
      </c>
    </row>
    <row r="219" spans="1:18" hidden="1" x14ac:dyDescent="0.3">
      <c r="A219">
        <v>11178</v>
      </c>
      <c r="B219" t="s">
        <v>473</v>
      </c>
      <c r="C219" t="s">
        <v>459</v>
      </c>
      <c r="D219" t="s">
        <v>474</v>
      </c>
      <c r="E219" t="s">
        <v>13</v>
      </c>
      <c r="F219" t="s">
        <v>44</v>
      </c>
      <c r="G219">
        <v>260</v>
      </c>
      <c r="H219">
        <v>2</v>
      </c>
      <c r="I219" s="16">
        <f t="shared" si="35"/>
        <v>520</v>
      </c>
      <c r="J219">
        <v>2</v>
      </c>
      <c r="K219">
        <f t="shared" si="36"/>
        <v>520</v>
      </c>
      <c r="L219">
        <f t="shared" si="33"/>
        <v>0</v>
      </c>
      <c r="M219">
        <f t="shared" si="37"/>
        <v>0</v>
      </c>
      <c r="N219">
        <f t="shared" si="38"/>
        <v>0</v>
      </c>
      <c r="O219">
        <f t="shared" si="39"/>
        <v>0</v>
      </c>
    </row>
    <row r="220" spans="1:18" hidden="1" x14ac:dyDescent="0.3">
      <c r="A220">
        <v>11895</v>
      </c>
      <c r="B220" t="s">
        <v>475</v>
      </c>
      <c r="C220" t="s">
        <v>459</v>
      </c>
      <c r="D220" t="s">
        <v>476</v>
      </c>
      <c r="E220" t="s">
        <v>13</v>
      </c>
      <c r="F220" t="s">
        <v>466</v>
      </c>
      <c r="G220">
        <v>220</v>
      </c>
      <c r="H220">
        <v>2</v>
      </c>
      <c r="I220" s="16">
        <f t="shared" si="35"/>
        <v>440</v>
      </c>
      <c r="J220">
        <v>2</v>
      </c>
      <c r="K220">
        <f t="shared" si="36"/>
        <v>440</v>
      </c>
      <c r="L220">
        <f t="shared" si="33"/>
        <v>0</v>
      </c>
      <c r="M220">
        <f t="shared" si="37"/>
        <v>0</v>
      </c>
      <c r="N220">
        <f t="shared" si="38"/>
        <v>0</v>
      </c>
      <c r="O220">
        <f t="shared" si="39"/>
        <v>0</v>
      </c>
    </row>
    <row r="221" spans="1:18" hidden="1" x14ac:dyDescent="0.3">
      <c r="A221">
        <v>12172</v>
      </c>
      <c r="B221" t="s">
        <v>477</v>
      </c>
      <c r="C221" t="s">
        <v>459</v>
      </c>
      <c r="D221" t="s">
        <v>478</v>
      </c>
      <c r="E221" t="s">
        <v>13</v>
      </c>
      <c r="F221" t="s">
        <v>44</v>
      </c>
      <c r="G221">
        <v>180</v>
      </c>
      <c r="H221">
        <v>2</v>
      </c>
      <c r="I221" s="16">
        <f t="shared" si="35"/>
        <v>360</v>
      </c>
      <c r="J221">
        <v>2</v>
      </c>
      <c r="K221">
        <f t="shared" si="36"/>
        <v>360</v>
      </c>
      <c r="L221">
        <f t="shared" si="33"/>
        <v>0</v>
      </c>
      <c r="M221">
        <f t="shared" si="37"/>
        <v>0</v>
      </c>
      <c r="N221">
        <f t="shared" si="38"/>
        <v>0</v>
      </c>
      <c r="O221">
        <f t="shared" si="39"/>
        <v>0</v>
      </c>
    </row>
    <row r="222" spans="1:18" hidden="1" x14ac:dyDescent="0.3">
      <c r="A222">
        <v>8380</v>
      </c>
      <c r="B222" t="s">
        <v>479</v>
      </c>
      <c r="C222" t="s">
        <v>480</v>
      </c>
      <c r="D222" t="s">
        <v>481</v>
      </c>
      <c r="E222" t="s">
        <v>13</v>
      </c>
      <c r="F222" t="s">
        <v>14</v>
      </c>
      <c r="G222">
        <v>140</v>
      </c>
      <c r="H222">
        <v>2</v>
      </c>
      <c r="I222" s="16">
        <f t="shared" si="35"/>
        <v>280</v>
      </c>
      <c r="J222">
        <v>2</v>
      </c>
      <c r="K222">
        <f t="shared" si="36"/>
        <v>280</v>
      </c>
      <c r="L222">
        <f t="shared" si="33"/>
        <v>0</v>
      </c>
      <c r="M222">
        <f t="shared" si="37"/>
        <v>0</v>
      </c>
      <c r="N222">
        <f t="shared" si="38"/>
        <v>0</v>
      </c>
      <c r="O222">
        <f t="shared" si="39"/>
        <v>0</v>
      </c>
    </row>
    <row r="223" spans="1:18" ht="18.3" x14ac:dyDescent="0.4">
      <c r="A223">
        <v>9220</v>
      </c>
      <c r="B223" t="s">
        <v>482</v>
      </c>
      <c r="C223" t="s">
        <v>480</v>
      </c>
      <c r="D223" t="s">
        <v>483</v>
      </c>
      <c r="E223" t="s">
        <v>13</v>
      </c>
      <c r="F223" t="s">
        <v>44</v>
      </c>
      <c r="G223">
        <v>190</v>
      </c>
      <c r="H223">
        <v>2</v>
      </c>
      <c r="I223" s="16">
        <f t="shared" si="35"/>
        <v>380</v>
      </c>
      <c r="J223">
        <v>1</v>
      </c>
      <c r="K223">
        <f t="shared" si="36"/>
        <v>190</v>
      </c>
      <c r="L223">
        <f t="shared" si="33"/>
        <v>1</v>
      </c>
      <c r="M223">
        <f t="shared" si="37"/>
        <v>190</v>
      </c>
      <c r="N223">
        <f t="shared" si="38"/>
        <v>47.5</v>
      </c>
      <c r="O223">
        <f t="shared" si="39"/>
        <v>142.5</v>
      </c>
      <c r="R223" s="21" t="str">
        <f t="shared" ref="R223:R224" si="41">_xlfn.TEXTJOIN("  by ",TRUE,B222,C222)</f>
        <v>Pennal Mattume Mudiyum  by GA Prabha</v>
      </c>
    </row>
    <row r="224" spans="1:18" ht="18.3" x14ac:dyDescent="0.4">
      <c r="A224">
        <v>7636</v>
      </c>
      <c r="B224" t="s">
        <v>484</v>
      </c>
      <c r="C224" t="s">
        <v>480</v>
      </c>
      <c r="D224" t="s">
        <v>485</v>
      </c>
      <c r="E224" t="s">
        <v>13</v>
      </c>
      <c r="F224" t="s">
        <v>14</v>
      </c>
      <c r="G224">
        <v>100</v>
      </c>
      <c r="H224">
        <v>2</v>
      </c>
      <c r="I224" s="16">
        <f t="shared" si="35"/>
        <v>200</v>
      </c>
      <c r="J224">
        <v>1</v>
      </c>
      <c r="K224">
        <f t="shared" si="36"/>
        <v>100</v>
      </c>
      <c r="L224">
        <f t="shared" si="33"/>
        <v>1</v>
      </c>
      <c r="M224">
        <f t="shared" si="37"/>
        <v>100</v>
      </c>
      <c r="N224">
        <f t="shared" si="38"/>
        <v>25</v>
      </c>
      <c r="O224">
        <f t="shared" si="39"/>
        <v>75</v>
      </c>
      <c r="R224" s="21" t="str">
        <f t="shared" si="41"/>
        <v>Jaithu Kattuvom  by GA Prabha</v>
      </c>
    </row>
    <row r="225" spans="1:18" hidden="1" x14ac:dyDescent="0.3">
      <c r="A225">
        <v>6302</v>
      </c>
      <c r="B225" t="s">
        <v>486</v>
      </c>
      <c r="C225" t="s">
        <v>480</v>
      </c>
      <c r="D225" t="s">
        <v>487</v>
      </c>
      <c r="E225" t="s">
        <v>13</v>
      </c>
      <c r="F225" t="s">
        <v>14</v>
      </c>
      <c r="G225">
        <v>160</v>
      </c>
      <c r="H225">
        <v>2</v>
      </c>
      <c r="I225" s="16">
        <f t="shared" si="35"/>
        <v>320</v>
      </c>
      <c r="J225">
        <v>2</v>
      </c>
      <c r="K225">
        <f t="shared" si="36"/>
        <v>320</v>
      </c>
      <c r="L225">
        <f t="shared" si="33"/>
        <v>0</v>
      </c>
      <c r="M225">
        <f t="shared" si="37"/>
        <v>0</v>
      </c>
      <c r="N225">
        <f t="shared" si="38"/>
        <v>0</v>
      </c>
      <c r="O225">
        <f t="shared" si="39"/>
        <v>0</v>
      </c>
    </row>
    <row r="226" spans="1:18" ht="18.3" x14ac:dyDescent="0.4">
      <c r="A226">
        <v>9235</v>
      </c>
      <c r="B226" t="s">
        <v>488</v>
      </c>
      <c r="C226" t="s">
        <v>480</v>
      </c>
      <c r="D226" t="s">
        <v>489</v>
      </c>
      <c r="E226" t="s">
        <v>13</v>
      </c>
      <c r="F226" t="s">
        <v>44</v>
      </c>
      <c r="G226">
        <v>80</v>
      </c>
      <c r="H226">
        <v>2</v>
      </c>
      <c r="I226" s="16">
        <f t="shared" si="35"/>
        <v>160</v>
      </c>
      <c r="J226">
        <v>0</v>
      </c>
      <c r="K226">
        <f t="shared" si="36"/>
        <v>0</v>
      </c>
      <c r="L226">
        <f t="shared" si="33"/>
        <v>2</v>
      </c>
      <c r="M226">
        <f t="shared" si="37"/>
        <v>160</v>
      </c>
      <c r="N226">
        <f t="shared" si="38"/>
        <v>40</v>
      </c>
      <c r="O226">
        <f t="shared" si="39"/>
        <v>120</v>
      </c>
      <c r="R226" s="21" t="str">
        <f t="shared" ref="R226:R227" si="42">_xlfn.TEXTJOIN("  by ",TRUE,B225,C225)</f>
        <v>Paravasam  by GA Prabha</v>
      </c>
    </row>
    <row r="227" spans="1:18" ht="18.3" x14ac:dyDescent="0.4">
      <c r="A227">
        <v>6567</v>
      </c>
      <c r="B227" t="s">
        <v>490</v>
      </c>
      <c r="C227" t="s">
        <v>480</v>
      </c>
      <c r="D227" t="s">
        <v>491</v>
      </c>
      <c r="E227" t="s">
        <v>13</v>
      </c>
      <c r="F227" t="s">
        <v>492</v>
      </c>
      <c r="G227">
        <v>130</v>
      </c>
      <c r="H227">
        <v>2</v>
      </c>
      <c r="I227" s="16">
        <f t="shared" si="35"/>
        <v>260</v>
      </c>
      <c r="J227">
        <v>1</v>
      </c>
      <c r="K227">
        <f t="shared" si="36"/>
        <v>130</v>
      </c>
      <c r="L227">
        <f t="shared" si="33"/>
        <v>1</v>
      </c>
      <c r="M227">
        <f t="shared" si="37"/>
        <v>130</v>
      </c>
      <c r="N227">
        <f t="shared" si="38"/>
        <v>32.5</v>
      </c>
      <c r="O227">
        <f t="shared" si="39"/>
        <v>97.5</v>
      </c>
      <c r="R227" s="21" t="str">
        <f t="shared" si="42"/>
        <v>Pokkisham  by GA Prabha</v>
      </c>
    </row>
    <row r="228" spans="1:18" hidden="1" x14ac:dyDescent="0.3">
      <c r="A228">
        <v>6303</v>
      </c>
      <c r="B228" t="s">
        <v>493</v>
      </c>
      <c r="C228" t="s">
        <v>480</v>
      </c>
      <c r="D228" t="s">
        <v>494</v>
      </c>
      <c r="E228" t="s">
        <v>13</v>
      </c>
      <c r="F228" t="s">
        <v>14</v>
      </c>
      <c r="G228">
        <v>160</v>
      </c>
      <c r="H228">
        <v>2</v>
      </c>
      <c r="I228" s="16">
        <f t="shared" si="35"/>
        <v>320</v>
      </c>
      <c r="J228">
        <v>2</v>
      </c>
      <c r="K228">
        <f t="shared" si="36"/>
        <v>320</v>
      </c>
      <c r="L228">
        <f t="shared" ref="L228:L291" si="43">H228-J228</f>
        <v>0</v>
      </c>
      <c r="M228">
        <f t="shared" si="37"/>
        <v>0</v>
      </c>
      <c r="N228">
        <f t="shared" si="38"/>
        <v>0</v>
      </c>
      <c r="O228">
        <f t="shared" si="39"/>
        <v>0</v>
      </c>
    </row>
    <row r="229" spans="1:18" ht="18.3" x14ac:dyDescent="0.4">
      <c r="A229">
        <v>10689</v>
      </c>
      <c r="B229" t="s">
        <v>495</v>
      </c>
      <c r="C229" t="s">
        <v>480</v>
      </c>
      <c r="D229" t="s">
        <v>496</v>
      </c>
      <c r="E229" t="s">
        <v>13</v>
      </c>
      <c r="F229" t="s">
        <v>136</v>
      </c>
      <c r="G229">
        <v>160</v>
      </c>
      <c r="H229">
        <v>2</v>
      </c>
      <c r="I229" s="16">
        <f t="shared" si="35"/>
        <v>320</v>
      </c>
      <c r="J229">
        <v>1</v>
      </c>
      <c r="K229">
        <f t="shared" si="36"/>
        <v>160</v>
      </c>
      <c r="L229">
        <f t="shared" si="43"/>
        <v>1</v>
      </c>
      <c r="M229">
        <f t="shared" si="37"/>
        <v>160</v>
      </c>
      <c r="N229">
        <f t="shared" si="38"/>
        <v>40</v>
      </c>
      <c r="O229">
        <f t="shared" si="39"/>
        <v>120</v>
      </c>
      <c r="R229" s="21" t="str">
        <f>_xlfn.TEXTJOIN("  by ",TRUE,B228,C228)</f>
        <v>Velvom  by GA Prabha</v>
      </c>
    </row>
    <row r="230" spans="1:18" hidden="1" x14ac:dyDescent="0.3">
      <c r="A230">
        <v>11117</v>
      </c>
      <c r="B230" t="s">
        <v>497</v>
      </c>
      <c r="C230" t="s">
        <v>480</v>
      </c>
      <c r="D230" t="s">
        <v>498</v>
      </c>
      <c r="E230" t="s">
        <v>13</v>
      </c>
      <c r="F230" t="s">
        <v>136</v>
      </c>
      <c r="G230">
        <v>180</v>
      </c>
      <c r="H230">
        <v>2</v>
      </c>
      <c r="I230" s="16">
        <f t="shared" si="35"/>
        <v>360</v>
      </c>
      <c r="J230">
        <v>2</v>
      </c>
      <c r="K230">
        <f t="shared" si="36"/>
        <v>360</v>
      </c>
      <c r="L230">
        <f t="shared" si="43"/>
        <v>0</v>
      </c>
      <c r="M230">
        <f t="shared" si="37"/>
        <v>0</v>
      </c>
      <c r="N230">
        <f t="shared" si="38"/>
        <v>0</v>
      </c>
      <c r="O230">
        <f t="shared" si="39"/>
        <v>0</v>
      </c>
    </row>
    <row r="231" spans="1:18" ht="18.3" x14ac:dyDescent="0.4">
      <c r="A231">
        <v>10322</v>
      </c>
      <c r="B231" t="s">
        <v>499</v>
      </c>
      <c r="C231" t="s">
        <v>480</v>
      </c>
      <c r="D231" t="s">
        <v>500</v>
      </c>
      <c r="E231" t="s">
        <v>13</v>
      </c>
      <c r="F231" t="s">
        <v>136</v>
      </c>
      <c r="G231">
        <v>110</v>
      </c>
      <c r="H231">
        <v>2</v>
      </c>
      <c r="I231" s="16">
        <f t="shared" si="35"/>
        <v>220</v>
      </c>
      <c r="J231">
        <v>0</v>
      </c>
      <c r="K231">
        <f t="shared" si="36"/>
        <v>0</v>
      </c>
      <c r="L231">
        <f t="shared" si="43"/>
        <v>2</v>
      </c>
      <c r="M231">
        <f t="shared" si="37"/>
        <v>220</v>
      </c>
      <c r="N231">
        <f t="shared" si="38"/>
        <v>55</v>
      </c>
      <c r="O231">
        <f t="shared" si="39"/>
        <v>165</v>
      </c>
      <c r="R231" s="21" t="str">
        <f>_xlfn.TEXTJOIN("  by ",TRUE,B230,C230)</f>
        <v>Thalam Thorum Thalaivan  by GA Prabha</v>
      </c>
    </row>
    <row r="232" spans="1:18" hidden="1" x14ac:dyDescent="0.3">
      <c r="A232">
        <v>7227</v>
      </c>
      <c r="B232" t="s">
        <v>501</v>
      </c>
      <c r="C232" t="s">
        <v>502</v>
      </c>
      <c r="D232" t="s">
        <v>503</v>
      </c>
      <c r="E232" t="s">
        <v>13</v>
      </c>
      <c r="F232" t="s">
        <v>504</v>
      </c>
      <c r="G232">
        <v>80</v>
      </c>
      <c r="H232">
        <v>2</v>
      </c>
      <c r="I232" s="16">
        <f t="shared" si="35"/>
        <v>160</v>
      </c>
      <c r="J232">
        <v>2</v>
      </c>
      <c r="K232">
        <f t="shared" si="36"/>
        <v>160</v>
      </c>
      <c r="L232">
        <f t="shared" si="43"/>
        <v>0</v>
      </c>
      <c r="M232">
        <f t="shared" si="37"/>
        <v>0</v>
      </c>
      <c r="N232">
        <f t="shared" si="38"/>
        <v>0</v>
      </c>
      <c r="O232">
        <f t="shared" si="39"/>
        <v>0</v>
      </c>
    </row>
    <row r="233" spans="1:18" hidden="1" x14ac:dyDescent="0.3">
      <c r="A233">
        <v>7438</v>
      </c>
      <c r="B233" t="s">
        <v>505</v>
      </c>
      <c r="C233" t="s">
        <v>502</v>
      </c>
      <c r="D233" t="s">
        <v>506</v>
      </c>
      <c r="E233" t="s">
        <v>13</v>
      </c>
      <c r="F233" t="s">
        <v>39</v>
      </c>
      <c r="G233">
        <v>70</v>
      </c>
      <c r="H233">
        <v>2</v>
      </c>
      <c r="I233" s="16">
        <f t="shared" si="35"/>
        <v>140</v>
      </c>
      <c r="J233">
        <v>2</v>
      </c>
      <c r="K233">
        <f t="shared" si="36"/>
        <v>140</v>
      </c>
      <c r="L233">
        <f t="shared" si="43"/>
        <v>0</v>
      </c>
      <c r="M233">
        <f t="shared" si="37"/>
        <v>0</v>
      </c>
      <c r="N233">
        <f t="shared" si="38"/>
        <v>0</v>
      </c>
      <c r="O233">
        <f t="shared" si="39"/>
        <v>0</v>
      </c>
    </row>
    <row r="234" spans="1:18" hidden="1" x14ac:dyDescent="0.3">
      <c r="A234">
        <v>7222</v>
      </c>
      <c r="B234" t="s">
        <v>507</v>
      </c>
      <c r="C234" t="s">
        <v>502</v>
      </c>
      <c r="D234" t="s">
        <v>508</v>
      </c>
      <c r="E234" t="s">
        <v>13</v>
      </c>
      <c r="F234" t="s">
        <v>14</v>
      </c>
      <c r="G234">
        <v>130</v>
      </c>
      <c r="H234">
        <v>2</v>
      </c>
      <c r="I234" s="16">
        <f t="shared" si="35"/>
        <v>260</v>
      </c>
      <c r="J234">
        <v>2</v>
      </c>
      <c r="K234">
        <f t="shared" si="36"/>
        <v>260</v>
      </c>
      <c r="L234">
        <f t="shared" si="43"/>
        <v>0</v>
      </c>
      <c r="M234">
        <f t="shared" si="37"/>
        <v>0</v>
      </c>
      <c r="N234">
        <f t="shared" si="38"/>
        <v>0</v>
      </c>
      <c r="O234">
        <f t="shared" si="39"/>
        <v>0</v>
      </c>
    </row>
    <row r="235" spans="1:18" hidden="1" x14ac:dyDescent="0.3">
      <c r="A235">
        <v>7208</v>
      </c>
      <c r="B235" t="s">
        <v>509</v>
      </c>
      <c r="C235" t="s">
        <v>502</v>
      </c>
      <c r="D235" t="s">
        <v>510</v>
      </c>
      <c r="E235" t="s">
        <v>13</v>
      </c>
      <c r="F235" t="s">
        <v>14</v>
      </c>
      <c r="G235">
        <v>60</v>
      </c>
      <c r="H235">
        <v>2</v>
      </c>
      <c r="I235" s="16">
        <f t="shared" si="35"/>
        <v>120</v>
      </c>
      <c r="J235">
        <v>2</v>
      </c>
      <c r="K235">
        <f t="shared" si="36"/>
        <v>120</v>
      </c>
      <c r="L235">
        <f t="shared" si="43"/>
        <v>0</v>
      </c>
      <c r="M235">
        <f t="shared" si="37"/>
        <v>0</v>
      </c>
      <c r="N235">
        <f t="shared" si="38"/>
        <v>0</v>
      </c>
      <c r="O235">
        <f t="shared" si="39"/>
        <v>0</v>
      </c>
    </row>
    <row r="236" spans="1:18" hidden="1" x14ac:dyDescent="0.3">
      <c r="A236">
        <v>7383</v>
      </c>
      <c r="B236" t="s">
        <v>511</v>
      </c>
      <c r="C236" t="s">
        <v>502</v>
      </c>
      <c r="D236" t="s">
        <v>512</v>
      </c>
      <c r="E236" t="s">
        <v>13</v>
      </c>
      <c r="F236" t="s">
        <v>116</v>
      </c>
      <c r="G236">
        <v>60</v>
      </c>
      <c r="H236">
        <v>2</v>
      </c>
      <c r="I236" s="16">
        <f t="shared" si="35"/>
        <v>120</v>
      </c>
      <c r="J236">
        <v>2</v>
      </c>
      <c r="K236">
        <f t="shared" si="36"/>
        <v>120</v>
      </c>
      <c r="L236">
        <f t="shared" si="43"/>
        <v>0</v>
      </c>
      <c r="M236">
        <f t="shared" si="37"/>
        <v>0</v>
      </c>
      <c r="N236">
        <f t="shared" si="38"/>
        <v>0</v>
      </c>
      <c r="O236">
        <f t="shared" si="39"/>
        <v>0</v>
      </c>
    </row>
    <row r="237" spans="1:18" hidden="1" x14ac:dyDescent="0.3">
      <c r="A237">
        <v>7395</v>
      </c>
      <c r="B237" t="s">
        <v>513</v>
      </c>
      <c r="C237" t="s">
        <v>502</v>
      </c>
      <c r="D237" t="s">
        <v>514</v>
      </c>
      <c r="E237" t="s">
        <v>13</v>
      </c>
      <c r="F237" t="s">
        <v>116</v>
      </c>
      <c r="G237">
        <v>90</v>
      </c>
      <c r="H237">
        <v>2</v>
      </c>
      <c r="I237" s="16">
        <f t="shared" si="35"/>
        <v>180</v>
      </c>
      <c r="J237">
        <v>2</v>
      </c>
      <c r="K237">
        <f t="shared" si="36"/>
        <v>180</v>
      </c>
      <c r="L237">
        <f t="shared" si="43"/>
        <v>0</v>
      </c>
      <c r="M237">
        <f t="shared" si="37"/>
        <v>0</v>
      </c>
      <c r="N237">
        <f t="shared" si="38"/>
        <v>0</v>
      </c>
      <c r="O237">
        <f t="shared" si="39"/>
        <v>0</v>
      </c>
    </row>
    <row r="238" spans="1:18" hidden="1" x14ac:dyDescent="0.3">
      <c r="A238">
        <v>7392</v>
      </c>
      <c r="B238" t="s">
        <v>515</v>
      </c>
      <c r="C238" t="s">
        <v>502</v>
      </c>
      <c r="D238" t="s">
        <v>516</v>
      </c>
      <c r="E238" t="s">
        <v>13</v>
      </c>
      <c r="F238" t="s">
        <v>116</v>
      </c>
      <c r="G238">
        <v>80</v>
      </c>
      <c r="H238">
        <v>2</v>
      </c>
      <c r="I238" s="16">
        <f t="shared" si="35"/>
        <v>160</v>
      </c>
      <c r="J238">
        <v>2</v>
      </c>
      <c r="K238">
        <f t="shared" si="36"/>
        <v>160</v>
      </c>
      <c r="L238">
        <f t="shared" si="43"/>
        <v>0</v>
      </c>
      <c r="M238">
        <f t="shared" si="37"/>
        <v>0</v>
      </c>
      <c r="N238">
        <f t="shared" si="38"/>
        <v>0</v>
      </c>
      <c r="O238">
        <f t="shared" si="39"/>
        <v>0</v>
      </c>
    </row>
    <row r="239" spans="1:18" hidden="1" x14ac:dyDescent="0.3">
      <c r="A239">
        <v>7209</v>
      </c>
      <c r="B239" t="s">
        <v>517</v>
      </c>
      <c r="C239" t="s">
        <v>502</v>
      </c>
      <c r="D239" t="s">
        <v>518</v>
      </c>
      <c r="E239" t="s">
        <v>13</v>
      </c>
      <c r="F239" t="s">
        <v>116</v>
      </c>
      <c r="G239">
        <v>60</v>
      </c>
      <c r="H239">
        <v>2</v>
      </c>
      <c r="I239" s="16">
        <f t="shared" si="35"/>
        <v>120</v>
      </c>
      <c r="J239">
        <v>2</v>
      </c>
      <c r="K239">
        <f t="shared" si="36"/>
        <v>120</v>
      </c>
      <c r="L239">
        <f t="shared" si="43"/>
        <v>0</v>
      </c>
      <c r="M239">
        <f t="shared" si="37"/>
        <v>0</v>
      </c>
      <c r="N239">
        <f t="shared" si="38"/>
        <v>0</v>
      </c>
      <c r="O239">
        <f t="shared" si="39"/>
        <v>0</v>
      </c>
    </row>
    <row r="240" spans="1:18" hidden="1" x14ac:dyDescent="0.3">
      <c r="A240">
        <v>7200</v>
      </c>
      <c r="B240" t="s">
        <v>519</v>
      </c>
      <c r="C240" t="s">
        <v>502</v>
      </c>
      <c r="D240" t="s">
        <v>520</v>
      </c>
      <c r="E240" t="s">
        <v>13</v>
      </c>
      <c r="F240" t="s">
        <v>39</v>
      </c>
      <c r="G240">
        <v>160</v>
      </c>
      <c r="H240">
        <v>2</v>
      </c>
      <c r="I240" s="16">
        <f t="shared" si="35"/>
        <v>320</v>
      </c>
      <c r="J240">
        <v>2</v>
      </c>
      <c r="K240">
        <f t="shared" si="36"/>
        <v>320</v>
      </c>
      <c r="L240">
        <f t="shared" si="43"/>
        <v>0</v>
      </c>
      <c r="M240">
        <f t="shared" si="37"/>
        <v>0</v>
      </c>
      <c r="N240">
        <f t="shared" si="38"/>
        <v>0</v>
      </c>
      <c r="O240">
        <f t="shared" si="39"/>
        <v>0</v>
      </c>
    </row>
    <row r="241" spans="1:15" hidden="1" x14ac:dyDescent="0.3">
      <c r="A241">
        <v>7216</v>
      </c>
      <c r="B241" t="s">
        <v>521</v>
      </c>
      <c r="C241" t="s">
        <v>502</v>
      </c>
      <c r="D241" t="s">
        <v>522</v>
      </c>
      <c r="E241" t="s">
        <v>13</v>
      </c>
      <c r="F241" t="s">
        <v>504</v>
      </c>
      <c r="G241">
        <v>70</v>
      </c>
      <c r="H241">
        <v>2</v>
      </c>
      <c r="I241" s="16">
        <f t="shared" si="35"/>
        <v>140</v>
      </c>
      <c r="J241">
        <v>2</v>
      </c>
      <c r="K241">
        <f t="shared" si="36"/>
        <v>140</v>
      </c>
      <c r="L241">
        <f t="shared" si="43"/>
        <v>0</v>
      </c>
      <c r="M241">
        <f t="shared" si="37"/>
        <v>0</v>
      </c>
      <c r="N241">
        <f t="shared" si="38"/>
        <v>0</v>
      </c>
      <c r="O241">
        <f t="shared" si="39"/>
        <v>0</v>
      </c>
    </row>
    <row r="242" spans="1:15" hidden="1" x14ac:dyDescent="0.3">
      <c r="A242">
        <v>7445</v>
      </c>
      <c r="B242" t="s">
        <v>523</v>
      </c>
      <c r="C242" t="s">
        <v>502</v>
      </c>
      <c r="D242" t="s">
        <v>524</v>
      </c>
      <c r="E242" t="s">
        <v>13</v>
      </c>
      <c r="F242" t="s">
        <v>144</v>
      </c>
      <c r="G242">
        <v>100</v>
      </c>
      <c r="H242">
        <v>2</v>
      </c>
      <c r="I242" s="16">
        <f t="shared" si="35"/>
        <v>200</v>
      </c>
      <c r="J242">
        <v>2</v>
      </c>
      <c r="K242">
        <f t="shared" si="36"/>
        <v>200</v>
      </c>
      <c r="L242">
        <f t="shared" si="43"/>
        <v>0</v>
      </c>
      <c r="M242">
        <f t="shared" si="37"/>
        <v>0</v>
      </c>
      <c r="N242">
        <f t="shared" si="38"/>
        <v>0</v>
      </c>
      <c r="O242">
        <f t="shared" si="39"/>
        <v>0</v>
      </c>
    </row>
    <row r="243" spans="1:15" hidden="1" x14ac:dyDescent="0.3">
      <c r="A243">
        <v>7226</v>
      </c>
      <c r="B243" t="s">
        <v>525</v>
      </c>
      <c r="C243" t="s">
        <v>502</v>
      </c>
      <c r="D243" t="s">
        <v>526</v>
      </c>
      <c r="E243" t="s">
        <v>13</v>
      </c>
      <c r="F243" t="s">
        <v>116</v>
      </c>
      <c r="G243">
        <v>110</v>
      </c>
      <c r="H243">
        <v>2</v>
      </c>
      <c r="I243" s="16">
        <f t="shared" si="35"/>
        <v>220</v>
      </c>
      <c r="J243">
        <v>2</v>
      </c>
      <c r="K243">
        <f t="shared" si="36"/>
        <v>220</v>
      </c>
      <c r="L243">
        <f t="shared" si="43"/>
        <v>0</v>
      </c>
      <c r="M243">
        <f t="shared" si="37"/>
        <v>0</v>
      </c>
      <c r="N243">
        <f t="shared" si="38"/>
        <v>0</v>
      </c>
      <c r="O243">
        <f t="shared" si="39"/>
        <v>0</v>
      </c>
    </row>
    <row r="244" spans="1:15" hidden="1" x14ac:dyDescent="0.3">
      <c r="A244">
        <v>7217</v>
      </c>
      <c r="B244" t="s">
        <v>527</v>
      </c>
      <c r="C244" t="s">
        <v>502</v>
      </c>
      <c r="D244" t="s">
        <v>528</v>
      </c>
      <c r="E244" t="s">
        <v>13</v>
      </c>
      <c r="F244" t="s">
        <v>39</v>
      </c>
      <c r="G244">
        <v>90</v>
      </c>
      <c r="H244">
        <v>2</v>
      </c>
      <c r="I244" s="16">
        <f t="shared" si="35"/>
        <v>180</v>
      </c>
      <c r="J244">
        <v>2</v>
      </c>
      <c r="K244">
        <f t="shared" si="36"/>
        <v>180</v>
      </c>
      <c r="L244">
        <f t="shared" si="43"/>
        <v>0</v>
      </c>
      <c r="M244">
        <f t="shared" si="37"/>
        <v>0</v>
      </c>
      <c r="N244">
        <f t="shared" si="38"/>
        <v>0</v>
      </c>
      <c r="O244">
        <f t="shared" si="39"/>
        <v>0</v>
      </c>
    </row>
    <row r="245" spans="1:15" hidden="1" x14ac:dyDescent="0.3">
      <c r="A245">
        <v>7230</v>
      </c>
      <c r="B245" t="s">
        <v>529</v>
      </c>
      <c r="C245" t="s">
        <v>502</v>
      </c>
      <c r="D245" t="s">
        <v>530</v>
      </c>
      <c r="E245" t="s">
        <v>13</v>
      </c>
      <c r="F245" t="s">
        <v>504</v>
      </c>
      <c r="G245">
        <v>160</v>
      </c>
      <c r="H245">
        <v>2</v>
      </c>
      <c r="I245" s="16">
        <f t="shared" si="35"/>
        <v>320</v>
      </c>
      <c r="J245">
        <v>2</v>
      </c>
      <c r="K245">
        <f t="shared" si="36"/>
        <v>320</v>
      </c>
      <c r="L245">
        <f t="shared" si="43"/>
        <v>0</v>
      </c>
      <c r="M245">
        <f t="shared" si="37"/>
        <v>0</v>
      </c>
      <c r="N245">
        <f t="shared" si="38"/>
        <v>0</v>
      </c>
      <c r="O245">
        <f t="shared" si="39"/>
        <v>0</v>
      </c>
    </row>
    <row r="246" spans="1:15" hidden="1" x14ac:dyDescent="0.3">
      <c r="A246">
        <v>7224</v>
      </c>
      <c r="B246" t="s">
        <v>531</v>
      </c>
      <c r="C246" t="s">
        <v>502</v>
      </c>
      <c r="D246" t="s">
        <v>532</v>
      </c>
      <c r="E246" t="s">
        <v>13</v>
      </c>
      <c r="F246" t="s">
        <v>116</v>
      </c>
      <c r="G246">
        <v>70</v>
      </c>
      <c r="H246">
        <v>2</v>
      </c>
      <c r="I246" s="16">
        <f t="shared" si="35"/>
        <v>140</v>
      </c>
      <c r="J246">
        <v>2</v>
      </c>
      <c r="K246">
        <f t="shared" si="36"/>
        <v>140</v>
      </c>
      <c r="L246">
        <f t="shared" si="43"/>
        <v>0</v>
      </c>
      <c r="M246">
        <f t="shared" si="37"/>
        <v>0</v>
      </c>
      <c r="N246">
        <f t="shared" si="38"/>
        <v>0</v>
      </c>
      <c r="O246">
        <f t="shared" si="39"/>
        <v>0</v>
      </c>
    </row>
    <row r="247" spans="1:15" hidden="1" x14ac:dyDescent="0.3">
      <c r="A247">
        <v>7231</v>
      </c>
      <c r="B247" t="s">
        <v>533</v>
      </c>
      <c r="C247" t="s">
        <v>502</v>
      </c>
      <c r="D247" t="s">
        <v>534</v>
      </c>
      <c r="E247" t="s">
        <v>13</v>
      </c>
      <c r="F247" t="s">
        <v>116</v>
      </c>
      <c r="G247">
        <v>70</v>
      </c>
      <c r="H247">
        <v>2</v>
      </c>
      <c r="I247" s="16">
        <f t="shared" si="35"/>
        <v>140</v>
      </c>
      <c r="J247">
        <v>2</v>
      </c>
      <c r="K247">
        <f t="shared" si="36"/>
        <v>140</v>
      </c>
      <c r="L247">
        <f t="shared" si="43"/>
        <v>0</v>
      </c>
      <c r="M247">
        <f t="shared" si="37"/>
        <v>0</v>
      </c>
      <c r="N247">
        <f t="shared" si="38"/>
        <v>0</v>
      </c>
      <c r="O247">
        <f t="shared" si="39"/>
        <v>0</v>
      </c>
    </row>
    <row r="248" spans="1:15" hidden="1" x14ac:dyDescent="0.3">
      <c r="A248">
        <v>7441</v>
      </c>
      <c r="B248" t="s">
        <v>535</v>
      </c>
      <c r="C248" t="s">
        <v>502</v>
      </c>
      <c r="D248" t="s">
        <v>536</v>
      </c>
      <c r="E248" t="s">
        <v>13</v>
      </c>
      <c r="F248" t="s">
        <v>116</v>
      </c>
      <c r="G248">
        <v>90</v>
      </c>
      <c r="H248">
        <v>2</v>
      </c>
      <c r="I248" s="16">
        <f t="shared" si="35"/>
        <v>180</v>
      </c>
      <c r="J248">
        <v>2</v>
      </c>
      <c r="K248">
        <f t="shared" si="36"/>
        <v>180</v>
      </c>
      <c r="L248">
        <f t="shared" si="43"/>
        <v>0</v>
      </c>
      <c r="M248">
        <f t="shared" si="37"/>
        <v>0</v>
      </c>
      <c r="N248">
        <f t="shared" si="38"/>
        <v>0</v>
      </c>
      <c r="O248">
        <f t="shared" si="39"/>
        <v>0</v>
      </c>
    </row>
    <row r="249" spans="1:15" hidden="1" x14ac:dyDescent="0.3">
      <c r="A249">
        <v>7386</v>
      </c>
      <c r="B249" t="s">
        <v>537</v>
      </c>
      <c r="C249" t="s">
        <v>502</v>
      </c>
      <c r="D249" t="s">
        <v>538</v>
      </c>
      <c r="E249" t="s">
        <v>13</v>
      </c>
      <c r="F249" t="s">
        <v>116</v>
      </c>
      <c r="G249">
        <v>110</v>
      </c>
      <c r="H249">
        <v>2</v>
      </c>
      <c r="I249" s="16">
        <f t="shared" si="35"/>
        <v>220</v>
      </c>
      <c r="J249">
        <v>2</v>
      </c>
      <c r="K249">
        <f t="shared" si="36"/>
        <v>220</v>
      </c>
      <c r="L249">
        <f t="shared" si="43"/>
        <v>0</v>
      </c>
      <c r="M249">
        <f t="shared" si="37"/>
        <v>0</v>
      </c>
      <c r="N249">
        <f t="shared" si="38"/>
        <v>0</v>
      </c>
      <c r="O249">
        <f t="shared" si="39"/>
        <v>0</v>
      </c>
    </row>
    <row r="250" spans="1:15" hidden="1" x14ac:dyDescent="0.3">
      <c r="A250">
        <v>7203</v>
      </c>
      <c r="B250" t="s">
        <v>539</v>
      </c>
      <c r="C250" t="s">
        <v>502</v>
      </c>
      <c r="D250" t="s">
        <v>540</v>
      </c>
      <c r="E250" t="s">
        <v>13</v>
      </c>
      <c r="F250" t="s">
        <v>492</v>
      </c>
      <c r="G250">
        <v>110</v>
      </c>
      <c r="H250">
        <v>2</v>
      </c>
      <c r="I250" s="16">
        <f t="shared" si="35"/>
        <v>220</v>
      </c>
      <c r="J250">
        <v>2</v>
      </c>
      <c r="K250">
        <f t="shared" si="36"/>
        <v>220</v>
      </c>
      <c r="L250">
        <f t="shared" si="43"/>
        <v>0</v>
      </c>
      <c r="M250">
        <f t="shared" si="37"/>
        <v>0</v>
      </c>
      <c r="N250">
        <f t="shared" si="38"/>
        <v>0</v>
      </c>
      <c r="O250">
        <f t="shared" si="39"/>
        <v>0</v>
      </c>
    </row>
    <row r="251" spans="1:15" hidden="1" x14ac:dyDescent="0.3">
      <c r="A251">
        <v>7440</v>
      </c>
      <c r="B251" t="s">
        <v>541</v>
      </c>
      <c r="C251" t="s">
        <v>502</v>
      </c>
      <c r="D251" t="s">
        <v>542</v>
      </c>
      <c r="E251" t="s">
        <v>13</v>
      </c>
      <c r="F251" t="s">
        <v>39</v>
      </c>
      <c r="G251">
        <v>120</v>
      </c>
      <c r="H251">
        <v>2</v>
      </c>
      <c r="I251" s="16">
        <f t="shared" si="35"/>
        <v>240</v>
      </c>
      <c r="J251">
        <v>2</v>
      </c>
      <c r="K251">
        <f t="shared" si="36"/>
        <v>240</v>
      </c>
      <c r="L251">
        <f t="shared" si="43"/>
        <v>0</v>
      </c>
      <c r="M251">
        <f t="shared" si="37"/>
        <v>0</v>
      </c>
      <c r="N251">
        <f t="shared" si="38"/>
        <v>0</v>
      </c>
      <c r="O251">
        <f t="shared" si="39"/>
        <v>0</v>
      </c>
    </row>
    <row r="252" spans="1:15" hidden="1" x14ac:dyDescent="0.3">
      <c r="A252">
        <v>7389</v>
      </c>
      <c r="B252" t="s">
        <v>543</v>
      </c>
      <c r="C252" t="s">
        <v>502</v>
      </c>
      <c r="D252" t="s">
        <v>544</v>
      </c>
      <c r="E252" t="s">
        <v>13</v>
      </c>
      <c r="F252" t="s">
        <v>116</v>
      </c>
      <c r="G252">
        <v>100</v>
      </c>
      <c r="H252">
        <v>2</v>
      </c>
      <c r="I252" s="16">
        <f t="shared" si="35"/>
        <v>200</v>
      </c>
      <c r="J252">
        <v>2</v>
      </c>
      <c r="K252">
        <f t="shared" si="36"/>
        <v>200</v>
      </c>
      <c r="L252">
        <f t="shared" si="43"/>
        <v>0</v>
      </c>
      <c r="M252">
        <f t="shared" si="37"/>
        <v>0</v>
      </c>
      <c r="N252">
        <f t="shared" si="38"/>
        <v>0</v>
      </c>
      <c r="O252">
        <f t="shared" si="39"/>
        <v>0</v>
      </c>
    </row>
    <row r="253" spans="1:15" hidden="1" x14ac:dyDescent="0.3">
      <c r="A253">
        <v>7204</v>
      </c>
      <c r="B253" t="s">
        <v>545</v>
      </c>
      <c r="C253" t="s">
        <v>502</v>
      </c>
      <c r="D253" t="s">
        <v>546</v>
      </c>
      <c r="E253" t="s">
        <v>13</v>
      </c>
      <c r="F253" t="s">
        <v>39</v>
      </c>
      <c r="G253">
        <v>110</v>
      </c>
      <c r="H253">
        <v>2</v>
      </c>
      <c r="I253" s="16">
        <f t="shared" si="35"/>
        <v>220</v>
      </c>
      <c r="J253">
        <v>2</v>
      </c>
      <c r="K253">
        <f t="shared" si="36"/>
        <v>220</v>
      </c>
      <c r="L253">
        <f t="shared" si="43"/>
        <v>0</v>
      </c>
      <c r="M253">
        <f t="shared" si="37"/>
        <v>0</v>
      </c>
      <c r="N253">
        <f t="shared" si="38"/>
        <v>0</v>
      </c>
      <c r="O253">
        <f t="shared" si="39"/>
        <v>0</v>
      </c>
    </row>
    <row r="254" spans="1:15" hidden="1" x14ac:dyDescent="0.3">
      <c r="A254">
        <v>7396</v>
      </c>
      <c r="B254" t="s">
        <v>547</v>
      </c>
      <c r="C254" t="s">
        <v>502</v>
      </c>
      <c r="D254" t="s">
        <v>548</v>
      </c>
      <c r="E254" t="s">
        <v>13</v>
      </c>
      <c r="F254" t="s">
        <v>116</v>
      </c>
      <c r="G254">
        <v>100</v>
      </c>
      <c r="H254">
        <v>2</v>
      </c>
      <c r="I254" s="16">
        <f t="shared" si="35"/>
        <v>200</v>
      </c>
      <c r="J254">
        <v>2</v>
      </c>
      <c r="K254">
        <f t="shared" si="36"/>
        <v>200</v>
      </c>
      <c r="L254">
        <f t="shared" si="43"/>
        <v>0</v>
      </c>
      <c r="M254">
        <f t="shared" si="37"/>
        <v>0</v>
      </c>
      <c r="N254">
        <f t="shared" si="38"/>
        <v>0</v>
      </c>
      <c r="O254">
        <f t="shared" si="39"/>
        <v>0</v>
      </c>
    </row>
    <row r="255" spans="1:15" hidden="1" x14ac:dyDescent="0.3">
      <c r="A255">
        <v>7201</v>
      </c>
      <c r="B255" t="s">
        <v>549</v>
      </c>
      <c r="C255" t="s">
        <v>502</v>
      </c>
      <c r="D255" t="s">
        <v>550</v>
      </c>
      <c r="E255" t="s">
        <v>13</v>
      </c>
      <c r="F255" t="s">
        <v>14</v>
      </c>
      <c r="G255">
        <v>190</v>
      </c>
      <c r="H255">
        <v>2</v>
      </c>
      <c r="I255" s="16">
        <f t="shared" si="35"/>
        <v>380</v>
      </c>
      <c r="J255">
        <v>2</v>
      </c>
      <c r="K255">
        <f t="shared" si="36"/>
        <v>380</v>
      </c>
      <c r="L255">
        <f t="shared" si="43"/>
        <v>0</v>
      </c>
      <c r="M255">
        <f t="shared" si="37"/>
        <v>0</v>
      </c>
      <c r="N255">
        <f t="shared" si="38"/>
        <v>0</v>
      </c>
      <c r="O255">
        <f t="shared" si="39"/>
        <v>0</v>
      </c>
    </row>
    <row r="256" spans="1:15" hidden="1" x14ac:dyDescent="0.3">
      <c r="A256">
        <v>5707</v>
      </c>
      <c r="B256" t="s">
        <v>551</v>
      </c>
      <c r="C256" t="s">
        <v>552</v>
      </c>
      <c r="D256" t="s">
        <v>553</v>
      </c>
      <c r="E256" t="s">
        <v>13</v>
      </c>
      <c r="F256" t="s">
        <v>39</v>
      </c>
      <c r="G256">
        <v>260</v>
      </c>
      <c r="H256">
        <v>2</v>
      </c>
      <c r="I256" s="16">
        <f t="shared" si="35"/>
        <v>520</v>
      </c>
      <c r="J256">
        <v>2</v>
      </c>
      <c r="K256">
        <f t="shared" si="36"/>
        <v>520</v>
      </c>
      <c r="L256">
        <f t="shared" si="43"/>
        <v>0</v>
      </c>
      <c r="M256">
        <f t="shared" si="37"/>
        <v>0</v>
      </c>
      <c r="N256">
        <f t="shared" si="38"/>
        <v>0</v>
      </c>
      <c r="O256">
        <f t="shared" si="39"/>
        <v>0</v>
      </c>
    </row>
    <row r="257" spans="1:18" hidden="1" x14ac:dyDescent="0.3">
      <c r="A257">
        <v>5631</v>
      </c>
      <c r="B257" t="s">
        <v>554</v>
      </c>
      <c r="C257" t="s">
        <v>552</v>
      </c>
      <c r="D257" t="s">
        <v>555</v>
      </c>
      <c r="E257" t="s">
        <v>13</v>
      </c>
      <c r="F257" t="s">
        <v>39</v>
      </c>
      <c r="G257">
        <v>210</v>
      </c>
      <c r="H257">
        <v>2</v>
      </c>
      <c r="I257" s="16">
        <f t="shared" si="35"/>
        <v>420</v>
      </c>
      <c r="J257">
        <v>2</v>
      </c>
      <c r="K257">
        <f t="shared" si="36"/>
        <v>420</v>
      </c>
      <c r="L257">
        <f t="shared" si="43"/>
        <v>0</v>
      </c>
      <c r="M257">
        <f t="shared" si="37"/>
        <v>0</v>
      </c>
      <c r="N257">
        <f t="shared" si="38"/>
        <v>0</v>
      </c>
      <c r="O257">
        <f t="shared" si="39"/>
        <v>0</v>
      </c>
    </row>
    <row r="258" spans="1:18" ht="18.3" x14ac:dyDescent="0.4">
      <c r="A258">
        <v>5716</v>
      </c>
      <c r="B258" t="s">
        <v>556</v>
      </c>
      <c r="C258" t="s">
        <v>552</v>
      </c>
      <c r="D258" t="s">
        <v>557</v>
      </c>
      <c r="E258" t="s">
        <v>13</v>
      </c>
      <c r="F258" t="s">
        <v>39</v>
      </c>
      <c r="G258">
        <v>170</v>
      </c>
      <c r="H258">
        <v>2</v>
      </c>
      <c r="I258" s="16">
        <f t="shared" si="35"/>
        <v>340</v>
      </c>
      <c r="J258">
        <v>1</v>
      </c>
      <c r="K258">
        <f t="shared" si="36"/>
        <v>170</v>
      </c>
      <c r="L258">
        <f t="shared" si="43"/>
        <v>1</v>
      </c>
      <c r="M258">
        <f t="shared" si="37"/>
        <v>170</v>
      </c>
      <c r="N258">
        <f t="shared" si="38"/>
        <v>42.5</v>
      </c>
      <c r="O258">
        <f t="shared" si="39"/>
        <v>127.5</v>
      </c>
      <c r="R258" s="21" t="str">
        <f>_xlfn.TEXTJOIN("  by ",TRUE,B257,C257)</f>
        <v>Kaadhale...! Kaadhale...!!  by Hansika Suga</v>
      </c>
    </row>
    <row r="259" spans="1:18" hidden="1" x14ac:dyDescent="0.3">
      <c r="A259">
        <v>5637</v>
      </c>
      <c r="B259" t="s">
        <v>558</v>
      </c>
      <c r="C259" t="s">
        <v>552</v>
      </c>
      <c r="D259" t="s">
        <v>559</v>
      </c>
      <c r="E259" t="s">
        <v>13</v>
      </c>
      <c r="F259" t="s">
        <v>39</v>
      </c>
      <c r="G259">
        <v>190</v>
      </c>
      <c r="H259">
        <v>2</v>
      </c>
      <c r="I259" s="16">
        <f t="shared" ref="I259:I322" si="44">H259*G259</f>
        <v>380</v>
      </c>
      <c r="J259">
        <v>2</v>
      </c>
      <c r="K259">
        <f t="shared" ref="K259:K322" si="45">J259*G259</f>
        <v>380</v>
      </c>
      <c r="L259">
        <f t="shared" si="43"/>
        <v>0</v>
      </c>
      <c r="M259">
        <f t="shared" ref="M259:M322" si="46">L259*G259</f>
        <v>0</v>
      </c>
      <c r="N259">
        <f t="shared" ref="N259:N322" si="47">M259*0.25</f>
        <v>0</v>
      </c>
      <c r="O259">
        <f t="shared" ref="O259:O322" si="48">M259-N259</f>
        <v>0</v>
      </c>
    </row>
    <row r="260" spans="1:18" hidden="1" x14ac:dyDescent="0.3">
      <c r="A260">
        <v>5629</v>
      </c>
      <c r="B260" t="s">
        <v>560</v>
      </c>
      <c r="C260" t="s">
        <v>552</v>
      </c>
      <c r="D260" t="s">
        <v>561</v>
      </c>
      <c r="E260" t="s">
        <v>13</v>
      </c>
      <c r="F260" t="s">
        <v>39</v>
      </c>
      <c r="G260">
        <v>200</v>
      </c>
      <c r="H260">
        <v>2</v>
      </c>
      <c r="I260" s="16">
        <f t="shared" si="44"/>
        <v>400</v>
      </c>
      <c r="J260">
        <v>2</v>
      </c>
      <c r="K260">
        <f t="shared" si="45"/>
        <v>400</v>
      </c>
      <c r="L260">
        <f t="shared" si="43"/>
        <v>0</v>
      </c>
      <c r="M260">
        <f t="shared" si="46"/>
        <v>0</v>
      </c>
      <c r="N260">
        <f t="shared" si="47"/>
        <v>0</v>
      </c>
      <c r="O260">
        <f t="shared" si="48"/>
        <v>0</v>
      </c>
    </row>
    <row r="261" spans="1:18" hidden="1" x14ac:dyDescent="0.3">
      <c r="A261">
        <v>7280</v>
      </c>
      <c r="B261" t="s">
        <v>562</v>
      </c>
      <c r="C261" t="s">
        <v>552</v>
      </c>
      <c r="D261" t="s">
        <v>563</v>
      </c>
      <c r="E261" t="s">
        <v>13</v>
      </c>
      <c r="F261" t="s">
        <v>39</v>
      </c>
      <c r="G261">
        <v>220</v>
      </c>
      <c r="H261">
        <v>2</v>
      </c>
      <c r="I261" s="16">
        <f t="shared" si="44"/>
        <v>440</v>
      </c>
      <c r="J261">
        <v>2</v>
      </c>
      <c r="K261">
        <f t="shared" si="45"/>
        <v>440</v>
      </c>
      <c r="L261">
        <f t="shared" si="43"/>
        <v>0</v>
      </c>
      <c r="M261">
        <f t="shared" si="46"/>
        <v>0</v>
      </c>
      <c r="N261">
        <f t="shared" si="47"/>
        <v>0</v>
      </c>
      <c r="O261">
        <f t="shared" si="48"/>
        <v>0</v>
      </c>
    </row>
    <row r="262" spans="1:18" ht="18.3" x14ac:dyDescent="0.4">
      <c r="A262">
        <v>6703</v>
      </c>
      <c r="B262" t="s">
        <v>564</v>
      </c>
      <c r="C262" t="s">
        <v>552</v>
      </c>
      <c r="D262" t="s">
        <v>565</v>
      </c>
      <c r="E262" t="s">
        <v>13</v>
      </c>
      <c r="F262" t="s">
        <v>39</v>
      </c>
      <c r="G262">
        <v>270</v>
      </c>
      <c r="H262">
        <v>2</v>
      </c>
      <c r="I262" s="16">
        <f t="shared" si="44"/>
        <v>540</v>
      </c>
      <c r="J262">
        <v>0</v>
      </c>
      <c r="K262">
        <f t="shared" si="45"/>
        <v>0</v>
      </c>
      <c r="L262">
        <f t="shared" si="43"/>
        <v>2</v>
      </c>
      <c r="M262">
        <f t="shared" si="46"/>
        <v>540</v>
      </c>
      <c r="N262">
        <f t="shared" si="47"/>
        <v>135</v>
      </c>
      <c r="O262">
        <f t="shared" si="48"/>
        <v>405</v>
      </c>
      <c r="R262" s="21" t="str">
        <f>_xlfn.TEXTJOIN("  by ",TRUE,B261,C261)</f>
        <v>Jagame [Kaadhal] Thanthiram  by Hansika Suga</v>
      </c>
    </row>
    <row r="263" spans="1:18" hidden="1" x14ac:dyDescent="0.3">
      <c r="A263">
        <v>6873</v>
      </c>
      <c r="B263" t="s">
        <v>566</v>
      </c>
      <c r="C263" t="s">
        <v>552</v>
      </c>
      <c r="D263" t="s">
        <v>567</v>
      </c>
      <c r="E263" t="s">
        <v>13</v>
      </c>
      <c r="F263" t="s">
        <v>39</v>
      </c>
      <c r="G263">
        <v>190</v>
      </c>
      <c r="H263">
        <v>2</v>
      </c>
      <c r="I263" s="16">
        <f t="shared" si="44"/>
        <v>380</v>
      </c>
      <c r="J263">
        <v>2</v>
      </c>
      <c r="K263">
        <f t="shared" si="45"/>
        <v>380</v>
      </c>
      <c r="L263">
        <f t="shared" si="43"/>
        <v>0</v>
      </c>
      <c r="M263">
        <f t="shared" si="46"/>
        <v>0</v>
      </c>
      <c r="N263">
        <f t="shared" si="47"/>
        <v>0</v>
      </c>
      <c r="O263">
        <f t="shared" si="48"/>
        <v>0</v>
      </c>
    </row>
    <row r="264" spans="1:18" ht="18.3" x14ac:dyDescent="0.4">
      <c r="A264">
        <v>9454</v>
      </c>
      <c r="B264" t="s">
        <v>568</v>
      </c>
      <c r="C264" t="s">
        <v>552</v>
      </c>
      <c r="D264" t="s">
        <v>569</v>
      </c>
      <c r="E264" t="s">
        <v>13</v>
      </c>
      <c r="F264" t="s">
        <v>39</v>
      </c>
      <c r="G264">
        <v>310</v>
      </c>
      <c r="H264">
        <v>2</v>
      </c>
      <c r="I264" s="16">
        <f t="shared" si="44"/>
        <v>620</v>
      </c>
      <c r="J264">
        <v>0</v>
      </c>
      <c r="K264">
        <f t="shared" si="45"/>
        <v>0</v>
      </c>
      <c r="L264">
        <f t="shared" si="43"/>
        <v>2</v>
      </c>
      <c r="M264">
        <f t="shared" si="46"/>
        <v>620</v>
      </c>
      <c r="N264">
        <f t="shared" si="47"/>
        <v>155</v>
      </c>
      <c r="O264">
        <f t="shared" si="48"/>
        <v>465</v>
      </c>
      <c r="R264" s="21" t="str">
        <f>_xlfn.TEXTJOIN("  by ",TRUE,B263,C263)</f>
        <v>Mannan Nee...! Ilanenjin Kalvan Nee...!  by Hansika Suga</v>
      </c>
    </row>
    <row r="265" spans="1:18" hidden="1" x14ac:dyDescent="0.3">
      <c r="A265">
        <v>9445</v>
      </c>
      <c r="B265" t="s">
        <v>570</v>
      </c>
      <c r="C265" t="s">
        <v>552</v>
      </c>
      <c r="D265" t="s">
        <v>571</v>
      </c>
      <c r="E265" t="s">
        <v>13</v>
      </c>
      <c r="F265" t="s">
        <v>39</v>
      </c>
      <c r="G265">
        <v>160</v>
      </c>
      <c r="H265">
        <v>2</v>
      </c>
      <c r="I265" s="16">
        <f t="shared" si="44"/>
        <v>320</v>
      </c>
      <c r="J265">
        <v>2</v>
      </c>
      <c r="K265">
        <f t="shared" si="45"/>
        <v>320</v>
      </c>
      <c r="L265">
        <f t="shared" si="43"/>
        <v>0</v>
      </c>
      <c r="M265">
        <f t="shared" si="46"/>
        <v>0</v>
      </c>
      <c r="N265">
        <f t="shared" si="47"/>
        <v>0</v>
      </c>
      <c r="O265">
        <f t="shared" si="48"/>
        <v>0</v>
      </c>
    </row>
    <row r="266" spans="1:18" hidden="1" x14ac:dyDescent="0.3">
      <c r="A266">
        <v>6723</v>
      </c>
      <c r="B266" t="s">
        <v>572</v>
      </c>
      <c r="C266" t="s">
        <v>552</v>
      </c>
      <c r="D266" t="s">
        <v>573</v>
      </c>
      <c r="E266" t="s">
        <v>13</v>
      </c>
      <c r="F266" t="s">
        <v>39</v>
      </c>
      <c r="G266">
        <v>140</v>
      </c>
      <c r="H266">
        <v>2</v>
      </c>
      <c r="I266" s="16">
        <f t="shared" si="44"/>
        <v>280</v>
      </c>
      <c r="J266">
        <v>2</v>
      </c>
      <c r="K266">
        <f t="shared" si="45"/>
        <v>280</v>
      </c>
      <c r="L266">
        <f t="shared" si="43"/>
        <v>0</v>
      </c>
      <c r="M266">
        <f t="shared" si="46"/>
        <v>0</v>
      </c>
      <c r="N266">
        <f t="shared" si="47"/>
        <v>0</v>
      </c>
      <c r="O266">
        <f t="shared" si="48"/>
        <v>0</v>
      </c>
    </row>
    <row r="267" spans="1:18" ht="18.3" x14ac:dyDescent="0.4">
      <c r="A267">
        <v>7349</v>
      </c>
      <c r="B267" t="s">
        <v>574</v>
      </c>
      <c r="C267" t="s">
        <v>552</v>
      </c>
      <c r="D267" t="s">
        <v>575</v>
      </c>
      <c r="E267" t="s">
        <v>13</v>
      </c>
      <c r="F267" t="s">
        <v>39</v>
      </c>
      <c r="G267">
        <v>270</v>
      </c>
      <c r="H267">
        <v>2</v>
      </c>
      <c r="I267" s="16">
        <f t="shared" si="44"/>
        <v>540</v>
      </c>
      <c r="J267">
        <v>1</v>
      </c>
      <c r="K267">
        <f t="shared" si="45"/>
        <v>270</v>
      </c>
      <c r="L267">
        <f t="shared" si="43"/>
        <v>1</v>
      </c>
      <c r="M267">
        <f t="shared" si="46"/>
        <v>270</v>
      </c>
      <c r="N267">
        <f t="shared" si="47"/>
        <v>67.5</v>
      </c>
      <c r="O267">
        <f t="shared" si="48"/>
        <v>202.5</v>
      </c>
      <c r="R267" s="21" t="str">
        <f>_xlfn.TEXTJOIN("  by ",TRUE,B266,C266)</f>
        <v>Mayakkum Penney...! Manthaara Poovey...!!  by Hansika Suga</v>
      </c>
    </row>
    <row r="268" spans="1:18" hidden="1" x14ac:dyDescent="0.3">
      <c r="A268">
        <v>5711</v>
      </c>
      <c r="B268" t="s">
        <v>576</v>
      </c>
      <c r="C268" t="s">
        <v>552</v>
      </c>
      <c r="D268" t="s">
        <v>577</v>
      </c>
      <c r="E268" t="s">
        <v>13</v>
      </c>
      <c r="F268" t="s">
        <v>39</v>
      </c>
      <c r="G268">
        <v>300</v>
      </c>
      <c r="H268">
        <v>2</v>
      </c>
      <c r="I268" s="16">
        <f t="shared" si="44"/>
        <v>600</v>
      </c>
      <c r="J268">
        <v>2</v>
      </c>
      <c r="K268">
        <f t="shared" si="45"/>
        <v>600</v>
      </c>
      <c r="L268">
        <f t="shared" si="43"/>
        <v>0</v>
      </c>
      <c r="M268">
        <f t="shared" si="46"/>
        <v>0</v>
      </c>
      <c r="N268">
        <f t="shared" si="47"/>
        <v>0</v>
      </c>
      <c r="O268">
        <f t="shared" si="48"/>
        <v>0</v>
      </c>
    </row>
    <row r="269" spans="1:18" hidden="1" x14ac:dyDescent="0.3">
      <c r="A269">
        <v>9550</v>
      </c>
      <c r="B269" t="s">
        <v>578</v>
      </c>
      <c r="C269" t="s">
        <v>552</v>
      </c>
      <c r="D269" t="s">
        <v>579</v>
      </c>
      <c r="E269" t="s">
        <v>13</v>
      </c>
      <c r="F269" t="s">
        <v>39</v>
      </c>
      <c r="G269">
        <v>160</v>
      </c>
      <c r="H269">
        <v>2</v>
      </c>
      <c r="I269" s="16">
        <f t="shared" si="44"/>
        <v>320</v>
      </c>
      <c r="J269">
        <v>2</v>
      </c>
      <c r="K269">
        <f t="shared" si="45"/>
        <v>320</v>
      </c>
      <c r="L269">
        <f t="shared" si="43"/>
        <v>0</v>
      </c>
      <c r="M269">
        <f t="shared" si="46"/>
        <v>0</v>
      </c>
      <c r="N269">
        <f t="shared" si="47"/>
        <v>0</v>
      </c>
      <c r="O269">
        <f t="shared" si="48"/>
        <v>0</v>
      </c>
    </row>
    <row r="270" spans="1:18" hidden="1" x14ac:dyDescent="0.3">
      <c r="A270">
        <v>6343</v>
      </c>
      <c r="B270" t="s">
        <v>580</v>
      </c>
      <c r="C270" t="s">
        <v>552</v>
      </c>
      <c r="D270" t="s">
        <v>581</v>
      </c>
      <c r="E270" t="s">
        <v>13</v>
      </c>
      <c r="F270" t="s">
        <v>39</v>
      </c>
      <c r="G270">
        <v>160</v>
      </c>
      <c r="H270">
        <v>2</v>
      </c>
      <c r="I270" s="16">
        <f t="shared" si="44"/>
        <v>320</v>
      </c>
      <c r="J270">
        <v>2</v>
      </c>
      <c r="K270">
        <f t="shared" si="45"/>
        <v>320</v>
      </c>
      <c r="L270">
        <f t="shared" si="43"/>
        <v>0</v>
      </c>
      <c r="M270">
        <f t="shared" si="46"/>
        <v>0</v>
      </c>
      <c r="N270">
        <f t="shared" si="47"/>
        <v>0</v>
      </c>
      <c r="O270">
        <f t="shared" si="48"/>
        <v>0</v>
      </c>
    </row>
    <row r="271" spans="1:18" hidden="1" x14ac:dyDescent="0.3">
      <c r="A271">
        <v>5632</v>
      </c>
      <c r="B271" t="s">
        <v>582</v>
      </c>
      <c r="C271" t="s">
        <v>552</v>
      </c>
      <c r="D271" t="s">
        <v>583</v>
      </c>
      <c r="E271" t="s">
        <v>13</v>
      </c>
      <c r="F271" t="s">
        <v>39</v>
      </c>
      <c r="G271">
        <v>220</v>
      </c>
      <c r="H271">
        <v>2</v>
      </c>
      <c r="I271" s="16">
        <f t="shared" si="44"/>
        <v>440</v>
      </c>
      <c r="J271">
        <v>2</v>
      </c>
      <c r="K271">
        <f t="shared" si="45"/>
        <v>440</v>
      </c>
      <c r="L271">
        <f t="shared" si="43"/>
        <v>0</v>
      </c>
      <c r="M271">
        <f t="shared" si="46"/>
        <v>0</v>
      </c>
      <c r="N271">
        <f t="shared" si="47"/>
        <v>0</v>
      </c>
      <c r="O271">
        <f t="shared" si="48"/>
        <v>0</v>
      </c>
    </row>
    <row r="272" spans="1:18" hidden="1" x14ac:dyDescent="0.3">
      <c r="A272">
        <v>7105</v>
      </c>
      <c r="B272" t="s">
        <v>584</v>
      </c>
      <c r="C272" t="s">
        <v>552</v>
      </c>
      <c r="D272" t="s">
        <v>585</v>
      </c>
      <c r="E272" t="s">
        <v>13</v>
      </c>
      <c r="F272" t="s">
        <v>39</v>
      </c>
      <c r="G272">
        <v>130</v>
      </c>
      <c r="H272">
        <v>2</v>
      </c>
      <c r="I272" s="16">
        <f t="shared" si="44"/>
        <v>260</v>
      </c>
      <c r="J272">
        <v>2</v>
      </c>
      <c r="K272">
        <f t="shared" si="45"/>
        <v>260</v>
      </c>
      <c r="L272">
        <f t="shared" si="43"/>
        <v>0</v>
      </c>
      <c r="M272">
        <f t="shared" si="46"/>
        <v>0</v>
      </c>
      <c r="N272">
        <f t="shared" si="47"/>
        <v>0</v>
      </c>
      <c r="O272">
        <f t="shared" si="48"/>
        <v>0</v>
      </c>
    </row>
    <row r="273" spans="1:18" hidden="1" x14ac:dyDescent="0.3">
      <c r="A273">
        <v>6592</v>
      </c>
      <c r="B273" t="s">
        <v>586</v>
      </c>
      <c r="C273" t="s">
        <v>552</v>
      </c>
      <c r="D273" t="s">
        <v>587</v>
      </c>
      <c r="E273" t="s">
        <v>13</v>
      </c>
      <c r="F273" t="s">
        <v>39</v>
      </c>
      <c r="G273">
        <v>190</v>
      </c>
      <c r="H273">
        <v>2</v>
      </c>
      <c r="I273" s="16">
        <f t="shared" si="44"/>
        <v>380</v>
      </c>
      <c r="J273">
        <v>2</v>
      </c>
      <c r="K273">
        <f t="shared" si="45"/>
        <v>380</v>
      </c>
      <c r="L273">
        <f t="shared" si="43"/>
        <v>0</v>
      </c>
      <c r="M273">
        <f t="shared" si="46"/>
        <v>0</v>
      </c>
      <c r="N273">
        <f t="shared" si="47"/>
        <v>0</v>
      </c>
      <c r="O273">
        <f t="shared" si="48"/>
        <v>0</v>
      </c>
    </row>
    <row r="274" spans="1:18" hidden="1" x14ac:dyDescent="0.3">
      <c r="A274">
        <v>5636</v>
      </c>
      <c r="B274" t="s">
        <v>588</v>
      </c>
      <c r="C274" t="s">
        <v>552</v>
      </c>
      <c r="D274" t="s">
        <v>589</v>
      </c>
      <c r="E274" t="s">
        <v>13</v>
      </c>
      <c r="F274" t="s">
        <v>39</v>
      </c>
      <c r="G274">
        <v>240</v>
      </c>
      <c r="H274">
        <v>2</v>
      </c>
      <c r="I274" s="16">
        <f t="shared" si="44"/>
        <v>480</v>
      </c>
      <c r="J274">
        <v>2</v>
      </c>
      <c r="K274">
        <f t="shared" si="45"/>
        <v>480</v>
      </c>
      <c r="L274">
        <f t="shared" si="43"/>
        <v>0</v>
      </c>
      <c r="M274">
        <f t="shared" si="46"/>
        <v>0</v>
      </c>
      <c r="N274">
        <f t="shared" si="47"/>
        <v>0</v>
      </c>
      <c r="O274">
        <f t="shared" si="48"/>
        <v>0</v>
      </c>
    </row>
    <row r="275" spans="1:18" hidden="1" x14ac:dyDescent="0.3">
      <c r="A275">
        <v>5718</v>
      </c>
      <c r="B275" t="s">
        <v>590</v>
      </c>
      <c r="C275" t="s">
        <v>552</v>
      </c>
      <c r="D275" t="s">
        <v>591</v>
      </c>
      <c r="E275" t="s">
        <v>13</v>
      </c>
      <c r="F275" t="s">
        <v>39</v>
      </c>
      <c r="G275">
        <v>310</v>
      </c>
      <c r="H275">
        <v>2</v>
      </c>
      <c r="I275" s="16">
        <f t="shared" si="44"/>
        <v>620</v>
      </c>
      <c r="J275">
        <v>2</v>
      </c>
      <c r="K275">
        <f t="shared" si="45"/>
        <v>620</v>
      </c>
      <c r="L275">
        <f t="shared" si="43"/>
        <v>0</v>
      </c>
      <c r="M275">
        <f t="shared" si="46"/>
        <v>0</v>
      </c>
      <c r="N275">
        <f t="shared" si="47"/>
        <v>0</v>
      </c>
      <c r="O275">
        <f t="shared" si="48"/>
        <v>0</v>
      </c>
    </row>
    <row r="276" spans="1:18" hidden="1" x14ac:dyDescent="0.3">
      <c r="A276">
        <v>10067</v>
      </c>
      <c r="B276" t="s">
        <v>592</v>
      </c>
      <c r="C276" t="s">
        <v>552</v>
      </c>
      <c r="D276" t="s">
        <v>593</v>
      </c>
      <c r="E276" t="s">
        <v>13</v>
      </c>
      <c r="F276" t="s">
        <v>39</v>
      </c>
      <c r="G276">
        <v>180</v>
      </c>
      <c r="H276">
        <v>2</v>
      </c>
      <c r="I276" s="16">
        <f t="shared" si="44"/>
        <v>360</v>
      </c>
      <c r="J276">
        <v>2</v>
      </c>
      <c r="K276">
        <f t="shared" si="45"/>
        <v>360</v>
      </c>
      <c r="L276">
        <f t="shared" si="43"/>
        <v>0</v>
      </c>
      <c r="M276">
        <f t="shared" si="46"/>
        <v>0</v>
      </c>
      <c r="N276">
        <f t="shared" si="47"/>
        <v>0</v>
      </c>
      <c r="O276">
        <f t="shared" si="48"/>
        <v>0</v>
      </c>
    </row>
    <row r="277" spans="1:18" ht="18.3" x14ac:dyDescent="0.4">
      <c r="A277">
        <v>3144</v>
      </c>
      <c r="B277" t="s">
        <v>594</v>
      </c>
      <c r="C277" t="s">
        <v>595</v>
      </c>
      <c r="D277" t="s">
        <v>596</v>
      </c>
      <c r="E277" t="s">
        <v>13</v>
      </c>
      <c r="F277" t="s">
        <v>44</v>
      </c>
      <c r="G277">
        <v>230</v>
      </c>
      <c r="H277">
        <v>2</v>
      </c>
      <c r="I277" s="16">
        <f t="shared" si="44"/>
        <v>460</v>
      </c>
      <c r="J277">
        <v>0</v>
      </c>
      <c r="K277">
        <f t="shared" si="45"/>
        <v>0</v>
      </c>
      <c r="L277">
        <f t="shared" si="43"/>
        <v>2</v>
      </c>
      <c r="M277">
        <f t="shared" si="46"/>
        <v>460</v>
      </c>
      <c r="N277">
        <f t="shared" si="47"/>
        <v>115</v>
      </c>
      <c r="O277">
        <f t="shared" si="48"/>
        <v>345</v>
      </c>
      <c r="R277" s="21" t="str">
        <f t="shared" ref="R277:R279" si="49">_xlfn.TEXTJOIN("  by ",TRUE,B276,C276)</f>
        <v>Kaadhaladum Manathu  by Hansika Suga</v>
      </c>
    </row>
    <row r="278" spans="1:18" ht="18.3" x14ac:dyDescent="0.4">
      <c r="A278">
        <v>4115</v>
      </c>
      <c r="B278" t="s">
        <v>597</v>
      </c>
      <c r="C278" t="s">
        <v>595</v>
      </c>
      <c r="D278" t="s">
        <v>598</v>
      </c>
      <c r="E278" t="s">
        <v>13</v>
      </c>
      <c r="F278" t="s">
        <v>44</v>
      </c>
      <c r="G278">
        <v>100</v>
      </c>
      <c r="H278">
        <v>2</v>
      </c>
      <c r="I278" s="16">
        <f t="shared" si="44"/>
        <v>200</v>
      </c>
      <c r="J278">
        <v>1</v>
      </c>
      <c r="K278">
        <f t="shared" si="45"/>
        <v>100</v>
      </c>
      <c r="L278">
        <f t="shared" si="43"/>
        <v>1</v>
      </c>
      <c r="M278">
        <f t="shared" si="46"/>
        <v>100</v>
      </c>
      <c r="N278">
        <f t="shared" si="47"/>
        <v>25</v>
      </c>
      <c r="O278">
        <f t="shared" si="48"/>
        <v>75</v>
      </c>
      <c r="R278" s="21" t="str">
        <f t="shared" si="49"/>
        <v>Tharaiyil Irangum Vimanangal  by Indhumathi</v>
      </c>
    </row>
    <row r="279" spans="1:18" ht="18.3" x14ac:dyDescent="0.4">
      <c r="A279">
        <v>3882</v>
      </c>
      <c r="B279" t="s">
        <v>599</v>
      </c>
      <c r="C279" t="s">
        <v>595</v>
      </c>
      <c r="D279" t="s">
        <v>600</v>
      </c>
      <c r="E279" t="s">
        <v>13</v>
      </c>
      <c r="F279" t="s">
        <v>39</v>
      </c>
      <c r="G279">
        <v>250</v>
      </c>
      <c r="H279">
        <v>2</v>
      </c>
      <c r="I279" s="16">
        <f t="shared" si="44"/>
        <v>500</v>
      </c>
      <c r="J279">
        <v>1</v>
      </c>
      <c r="K279">
        <f t="shared" si="45"/>
        <v>250</v>
      </c>
      <c r="L279">
        <f t="shared" si="43"/>
        <v>1</v>
      </c>
      <c r="M279">
        <f t="shared" si="46"/>
        <v>250</v>
      </c>
      <c r="N279">
        <f t="shared" si="47"/>
        <v>62.5</v>
      </c>
      <c r="O279">
        <f t="shared" si="48"/>
        <v>187.5</v>
      </c>
      <c r="R279" s="21" t="str">
        <f t="shared" si="49"/>
        <v>Avalukku Amuthendru Per  by Indhumathi</v>
      </c>
    </row>
    <row r="280" spans="1:18" hidden="1" x14ac:dyDescent="0.3">
      <c r="A280">
        <v>9411</v>
      </c>
      <c r="B280" t="s">
        <v>601</v>
      </c>
      <c r="C280" t="s">
        <v>595</v>
      </c>
      <c r="D280" t="s">
        <v>602</v>
      </c>
      <c r="E280" t="s">
        <v>13</v>
      </c>
      <c r="F280" t="s">
        <v>44</v>
      </c>
      <c r="G280">
        <v>200</v>
      </c>
      <c r="H280">
        <v>2</v>
      </c>
      <c r="I280" s="16">
        <f t="shared" si="44"/>
        <v>400</v>
      </c>
      <c r="J280">
        <v>2</v>
      </c>
      <c r="K280">
        <f t="shared" si="45"/>
        <v>400</v>
      </c>
      <c r="L280">
        <f t="shared" si="43"/>
        <v>0</v>
      </c>
      <c r="M280">
        <f t="shared" si="46"/>
        <v>0</v>
      </c>
      <c r="N280">
        <f t="shared" si="47"/>
        <v>0</v>
      </c>
      <c r="O280">
        <f t="shared" si="48"/>
        <v>0</v>
      </c>
    </row>
    <row r="281" spans="1:18" hidden="1" x14ac:dyDescent="0.3">
      <c r="A281">
        <v>4060</v>
      </c>
      <c r="B281" t="s">
        <v>603</v>
      </c>
      <c r="C281" t="s">
        <v>595</v>
      </c>
      <c r="D281" t="s">
        <v>604</v>
      </c>
      <c r="E281" t="s">
        <v>13</v>
      </c>
      <c r="F281" t="s">
        <v>14</v>
      </c>
      <c r="G281">
        <v>60</v>
      </c>
      <c r="H281">
        <v>2</v>
      </c>
      <c r="I281" s="16">
        <f t="shared" si="44"/>
        <v>120</v>
      </c>
      <c r="J281">
        <v>2</v>
      </c>
      <c r="K281">
        <f t="shared" si="45"/>
        <v>120</v>
      </c>
      <c r="L281">
        <f t="shared" si="43"/>
        <v>0</v>
      </c>
      <c r="M281">
        <f t="shared" si="46"/>
        <v>0</v>
      </c>
      <c r="N281">
        <f t="shared" si="47"/>
        <v>0</v>
      </c>
      <c r="O281">
        <f t="shared" si="48"/>
        <v>0</v>
      </c>
    </row>
    <row r="282" spans="1:18" ht="18.3" x14ac:dyDescent="0.4">
      <c r="A282">
        <v>3440</v>
      </c>
      <c r="B282" t="s">
        <v>605</v>
      </c>
      <c r="C282" t="s">
        <v>595</v>
      </c>
      <c r="D282" t="s">
        <v>606</v>
      </c>
      <c r="E282" t="s">
        <v>13</v>
      </c>
      <c r="F282" t="s">
        <v>44</v>
      </c>
      <c r="G282">
        <v>110</v>
      </c>
      <c r="H282">
        <v>2</v>
      </c>
      <c r="I282" s="16">
        <f t="shared" si="44"/>
        <v>220</v>
      </c>
      <c r="J282">
        <v>0</v>
      </c>
      <c r="K282">
        <f t="shared" si="45"/>
        <v>0</v>
      </c>
      <c r="L282">
        <f t="shared" si="43"/>
        <v>2</v>
      </c>
      <c r="M282">
        <f t="shared" si="46"/>
        <v>220</v>
      </c>
      <c r="N282">
        <f t="shared" si="47"/>
        <v>55</v>
      </c>
      <c r="O282">
        <f t="shared" si="48"/>
        <v>165</v>
      </c>
      <c r="R282" s="21" t="str">
        <f t="shared" ref="R282:R283" si="50">_xlfn.TEXTJOIN("  by ",TRUE,B281,C281)</f>
        <v>Koondu Kuyil  by Indhumathi</v>
      </c>
    </row>
    <row r="283" spans="1:18" ht="18.3" x14ac:dyDescent="0.4">
      <c r="A283">
        <v>4020</v>
      </c>
      <c r="B283" t="s">
        <v>607</v>
      </c>
      <c r="C283" t="s">
        <v>595</v>
      </c>
      <c r="D283" t="s">
        <v>608</v>
      </c>
      <c r="E283" t="s">
        <v>13</v>
      </c>
      <c r="F283" t="s">
        <v>44</v>
      </c>
      <c r="G283">
        <v>80</v>
      </c>
      <c r="H283">
        <v>2</v>
      </c>
      <c r="I283" s="16">
        <f t="shared" si="44"/>
        <v>160</v>
      </c>
      <c r="J283">
        <v>0</v>
      </c>
      <c r="K283">
        <f t="shared" si="45"/>
        <v>0</v>
      </c>
      <c r="L283">
        <f t="shared" si="43"/>
        <v>2</v>
      </c>
      <c r="M283">
        <f t="shared" si="46"/>
        <v>160</v>
      </c>
      <c r="N283">
        <f t="shared" si="47"/>
        <v>40</v>
      </c>
      <c r="O283">
        <f t="shared" si="48"/>
        <v>120</v>
      </c>
      <c r="R283" s="21" t="str">
        <f t="shared" si="50"/>
        <v>Mann Kudhirai  by Indhumathi</v>
      </c>
    </row>
    <row r="284" spans="1:18" hidden="1" x14ac:dyDescent="0.3">
      <c r="A284">
        <v>3161</v>
      </c>
      <c r="B284" t="s">
        <v>609</v>
      </c>
      <c r="C284" t="s">
        <v>595</v>
      </c>
      <c r="D284" t="s">
        <v>610</v>
      </c>
      <c r="E284" t="s">
        <v>13</v>
      </c>
      <c r="F284" t="s">
        <v>44</v>
      </c>
      <c r="G284">
        <v>300</v>
      </c>
      <c r="H284">
        <v>2</v>
      </c>
      <c r="I284" s="16">
        <f t="shared" si="44"/>
        <v>600</v>
      </c>
      <c r="J284">
        <v>2</v>
      </c>
      <c r="K284">
        <f t="shared" si="45"/>
        <v>600</v>
      </c>
      <c r="L284">
        <f t="shared" si="43"/>
        <v>0</v>
      </c>
      <c r="M284">
        <f t="shared" si="46"/>
        <v>0</v>
      </c>
      <c r="N284">
        <f t="shared" si="47"/>
        <v>0</v>
      </c>
      <c r="O284">
        <f t="shared" si="48"/>
        <v>0</v>
      </c>
    </row>
    <row r="285" spans="1:18" ht="18.3" x14ac:dyDescent="0.4">
      <c r="A285">
        <v>9405</v>
      </c>
      <c r="B285" t="s">
        <v>611</v>
      </c>
      <c r="C285" t="s">
        <v>595</v>
      </c>
      <c r="D285" t="s">
        <v>612</v>
      </c>
      <c r="E285" t="s">
        <v>13</v>
      </c>
      <c r="F285" t="s">
        <v>39</v>
      </c>
      <c r="G285">
        <v>150</v>
      </c>
      <c r="H285">
        <v>2</v>
      </c>
      <c r="I285" s="16">
        <f t="shared" si="44"/>
        <v>300</v>
      </c>
      <c r="J285">
        <v>1</v>
      </c>
      <c r="K285">
        <f t="shared" si="45"/>
        <v>150</v>
      </c>
      <c r="L285">
        <f t="shared" si="43"/>
        <v>1</v>
      </c>
      <c r="M285">
        <f t="shared" si="46"/>
        <v>150</v>
      </c>
      <c r="N285">
        <f t="shared" si="47"/>
        <v>37.5</v>
      </c>
      <c r="O285">
        <f t="shared" si="48"/>
        <v>112.5</v>
      </c>
      <c r="R285" s="21" t="str">
        <f t="shared" ref="R285:R311" si="51">_xlfn.TEXTJOIN("  by ",TRUE,B284,C284)</f>
        <v>Neruppu Malar  by Indhumathi</v>
      </c>
    </row>
    <row r="286" spans="1:18" ht="18.3" x14ac:dyDescent="0.4">
      <c r="A286">
        <v>3181</v>
      </c>
      <c r="B286" t="s">
        <v>613</v>
      </c>
      <c r="C286" t="s">
        <v>595</v>
      </c>
      <c r="D286" t="s">
        <v>614</v>
      </c>
      <c r="E286" t="s">
        <v>13</v>
      </c>
      <c r="F286" t="s">
        <v>44</v>
      </c>
      <c r="G286">
        <v>150</v>
      </c>
      <c r="H286">
        <v>2</v>
      </c>
      <c r="I286" s="16">
        <f t="shared" si="44"/>
        <v>300</v>
      </c>
      <c r="J286">
        <v>0</v>
      </c>
      <c r="K286">
        <f t="shared" si="45"/>
        <v>0</v>
      </c>
      <c r="L286">
        <f t="shared" si="43"/>
        <v>2</v>
      </c>
      <c r="M286">
        <f t="shared" si="46"/>
        <v>300</v>
      </c>
      <c r="N286">
        <f t="shared" si="47"/>
        <v>75</v>
      </c>
      <c r="O286">
        <f t="shared" si="48"/>
        <v>225</v>
      </c>
      <c r="R286" s="21" t="str">
        <f t="shared" si="51"/>
        <v>Ninaivey Illaiyaa Nithya?  by Indhumathi</v>
      </c>
    </row>
    <row r="287" spans="1:18" ht="18.3" x14ac:dyDescent="0.4">
      <c r="A287">
        <v>3091</v>
      </c>
      <c r="B287" t="s">
        <v>615</v>
      </c>
      <c r="C287" t="s">
        <v>595</v>
      </c>
      <c r="D287" t="s">
        <v>616</v>
      </c>
      <c r="E287" t="s">
        <v>13</v>
      </c>
      <c r="F287" t="s">
        <v>44</v>
      </c>
      <c r="G287">
        <v>140</v>
      </c>
      <c r="H287">
        <v>2</v>
      </c>
      <c r="I287" s="16">
        <f t="shared" si="44"/>
        <v>280</v>
      </c>
      <c r="J287">
        <v>1</v>
      </c>
      <c r="K287">
        <f t="shared" si="45"/>
        <v>140</v>
      </c>
      <c r="L287">
        <f t="shared" si="43"/>
        <v>1</v>
      </c>
      <c r="M287">
        <f t="shared" si="46"/>
        <v>140</v>
      </c>
      <c r="N287">
        <f t="shared" si="47"/>
        <v>35</v>
      </c>
      <c r="O287">
        <f t="shared" si="48"/>
        <v>105</v>
      </c>
      <c r="R287" s="21" t="str">
        <f t="shared" si="51"/>
        <v>Paisa Nagarathu Gopurangal  by Indhumathi</v>
      </c>
    </row>
    <row r="288" spans="1:18" ht="18.3" x14ac:dyDescent="0.4">
      <c r="A288">
        <v>3806</v>
      </c>
      <c r="B288" t="s">
        <v>617</v>
      </c>
      <c r="C288" t="s">
        <v>595</v>
      </c>
      <c r="D288" t="s">
        <v>618</v>
      </c>
      <c r="E288" t="s">
        <v>13</v>
      </c>
      <c r="F288" t="s">
        <v>14</v>
      </c>
      <c r="G288">
        <v>340</v>
      </c>
      <c r="H288">
        <v>2</v>
      </c>
      <c r="I288" s="16">
        <f t="shared" si="44"/>
        <v>680</v>
      </c>
      <c r="J288">
        <v>1</v>
      </c>
      <c r="K288">
        <f t="shared" si="45"/>
        <v>340</v>
      </c>
      <c r="L288">
        <f t="shared" si="43"/>
        <v>1</v>
      </c>
      <c r="M288">
        <f t="shared" si="46"/>
        <v>340</v>
      </c>
      <c r="N288">
        <f t="shared" si="47"/>
        <v>85</v>
      </c>
      <c r="O288">
        <f t="shared" si="48"/>
        <v>255</v>
      </c>
      <c r="R288" s="21" t="str">
        <f t="shared" si="51"/>
        <v>Thoduvaana Manithargal  by Indhumathi</v>
      </c>
    </row>
    <row r="289" spans="1:18" ht="18.3" x14ac:dyDescent="0.4">
      <c r="A289">
        <v>3165</v>
      </c>
      <c r="B289" t="s">
        <v>619</v>
      </c>
      <c r="C289" t="s">
        <v>595</v>
      </c>
      <c r="D289" t="s">
        <v>620</v>
      </c>
      <c r="E289" t="s">
        <v>13</v>
      </c>
      <c r="F289" t="s">
        <v>44</v>
      </c>
      <c r="G289">
        <v>200</v>
      </c>
      <c r="H289">
        <v>2</v>
      </c>
      <c r="I289" s="16">
        <f t="shared" si="44"/>
        <v>400</v>
      </c>
      <c r="J289">
        <v>1</v>
      </c>
      <c r="K289">
        <f t="shared" si="45"/>
        <v>200</v>
      </c>
      <c r="L289">
        <f t="shared" si="43"/>
        <v>1</v>
      </c>
      <c r="M289">
        <f t="shared" si="46"/>
        <v>200</v>
      </c>
      <c r="N289">
        <f t="shared" si="47"/>
        <v>50</v>
      </c>
      <c r="O289">
        <f t="shared" si="48"/>
        <v>150</v>
      </c>
      <c r="R289" s="21" t="str">
        <f t="shared" si="51"/>
        <v>Veenaiyadi Nee Enakku...  by Indhumathi</v>
      </c>
    </row>
    <row r="290" spans="1:18" ht="18.3" x14ac:dyDescent="0.4">
      <c r="A290">
        <v>127</v>
      </c>
      <c r="B290" t="s">
        <v>621</v>
      </c>
      <c r="C290" t="s">
        <v>622</v>
      </c>
      <c r="D290" t="s">
        <v>623</v>
      </c>
      <c r="E290" t="s">
        <v>13</v>
      </c>
      <c r="F290" t="s">
        <v>504</v>
      </c>
      <c r="G290">
        <v>420</v>
      </c>
      <c r="H290">
        <v>4</v>
      </c>
      <c r="I290" s="16">
        <f t="shared" si="44"/>
        <v>1680</v>
      </c>
      <c r="J290">
        <v>3</v>
      </c>
      <c r="K290">
        <f t="shared" si="45"/>
        <v>1260</v>
      </c>
      <c r="L290">
        <f t="shared" si="43"/>
        <v>1</v>
      </c>
      <c r="M290">
        <f t="shared" si="46"/>
        <v>420</v>
      </c>
      <c r="N290">
        <f t="shared" si="47"/>
        <v>105</v>
      </c>
      <c r="O290">
        <f t="shared" si="48"/>
        <v>315</v>
      </c>
      <c r="R290" s="21" t="str">
        <f t="shared" si="51"/>
        <v>Veenaiyil Urangum Raagangal  by Indhumathi</v>
      </c>
    </row>
    <row r="291" spans="1:18" ht="18.3" x14ac:dyDescent="0.4">
      <c r="A291">
        <v>2930</v>
      </c>
      <c r="B291" t="s">
        <v>624</v>
      </c>
      <c r="C291" t="s">
        <v>622</v>
      </c>
      <c r="D291" t="s">
        <v>625</v>
      </c>
      <c r="E291" t="s">
        <v>13</v>
      </c>
      <c r="F291" t="s">
        <v>504</v>
      </c>
      <c r="G291">
        <v>360</v>
      </c>
      <c r="H291">
        <v>4</v>
      </c>
      <c r="I291" s="16">
        <f t="shared" si="44"/>
        <v>1440</v>
      </c>
      <c r="J291">
        <v>3</v>
      </c>
      <c r="K291">
        <f t="shared" si="45"/>
        <v>1080</v>
      </c>
      <c r="L291">
        <f t="shared" si="43"/>
        <v>1</v>
      </c>
      <c r="M291">
        <f t="shared" si="46"/>
        <v>360</v>
      </c>
      <c r="N291">
        <f t="shared" si="47"/>
        <v>90</v>
      </c>
      <c r="O291">
        <f t="shared" si="48"/>
        <v>270</v>
      </c>
      <c r="R291" s="21" t="str">
        <f t="shared" si="51"/>
        <v>Aindhu Vazhi Moondru Vaasal   by Indira Soundarajan</v>
      </c>
    </row>
    <row r="292" spans="1:18" ht="18.3" x14ac:dyDescent="0.4">
      <c r="A292">
        <v>132</v>
      </c>
      <c r="B292" t="s">
        <v>626</v>
      </c>
      <c r="C292" t="s">
        <v>622</v>
      </c>
      <c r="D292" t="s">
        <v>627</v>
      </c>
      <c r="E292" t="s">
        <v>13</v>
      </c>
      <c r="F292" t="s">
        <v>504</v>
      </c>
      <c r="G292">
        <v>110</v>
      </c>
      <c r="H292">
        <v>4</v>
      </c>
      <c r="I292" s="16">
        <f t="shared" si="44"/>
        <v>440</v>
      </c>
      <c r="J292">
        <v>1</v>
      </c>
      <c r="K292">
        <f t="shared" si="45"/>
        <v>110</v>
      </c>
      <c r="L292">
        <f t="shared" ref="L292:L355" si="52">H292-J292</f>
        <v>3</v>
      </c>
      <c r="M292">
        <f t="shared" si="46"/>
        <v>330</v>
      </c>
      <c r="N292">
        <f t="shared" si="47"/>
        <v>82.5</v>
      </c>
      <c r="O292">
        <f t="shared" si="48"/>
        <v>247.5</v>
      </c>
      <c r="R292" s="21" t="str">
        <f t="shared" si="51"/>
        <v>En Peyar Ranganayagi  by Indira Soundarajan</v>
      </c>
    </row>
    <row r="293" spans="1:18" ht="18.3" x14ac:dyDescent="0.4">
      <c r="A293">
        <v>4477</v>
      </c>
      <c r="B293" t="s">
        <v>628</v>
      </c>
      <c r="C293" t="s">
        <v>622</v>
      </c>
      <c r="D293" t="s">
        <v>629</v>
      </c>
      <c r="E293" t="s">
        <v>13</v>
      </c>
      <c r="F293" t="s">
        <v>504</v>
      </c>
      <c r="G293">
        <v>340</v>
      </c>
      <c r="H293">
        <v>4</v>
      </c>
      <c r="I293" s="16">
        <f t="shared" si="44"/>
        <v>1360</v>
      </c>
      <c r="J293">
        <v>1</v>
      </c>
      <c r="K293">
        <f t="shared" si="45"/>
        <v>340</v>
      </c>
      <c r="L293">
        <f t="shared" si="52"/>
        <v>3</v>
      </c>
      <c r="M293">
        <f t="shared" si="46"/>
        <v>1020</v>
      </c>
      <c r="N293">
        <f t="shared" si="47"/>
        <v>255</v>
      </c>
      <c r="O293">
        <f t="shared" si="48"/>
        <v>765</v>
      </c>
      <c r="R293" s="21" t="str">
        <f t="shared" si="51"/>
        <v>Kaatril Ketta Kural  by Indira Soundarajan</v>
      </c>
    </row>
    <row r="294" spans="1:18" ht="18.3" x14ac:dyDescent="0.4">
      <c r="A294">
        <v>3460</v>
      </c>
      <c r="B294" t="s">
        <v>630</v>
      </c>
      <c r="C294" t="s">
        <v>622</v>
      </c>
      <c r="D294" t="s">
        <v>631</v>
      </c>
      <c r="E294" t="s">
        <v>13</v>
      </c>
      <c r="F294" t="s">
        <v>504</v>
      </c>
      <c r="G294">
        <v>580</v>
      </c>
      <c r="H294">
        <v>4</v>
      </c>
      <c r="I294" s="16">
        <f t="shared" si="44"/>
        <v>2320</v>
      </c>
      <c r="J294">
        <v>2</v>
      </c>
      <c r="K294">
        <f t="shared" si="45"/>
        <v>1160</v>
      </c>
      <c r="L294">
        <f t="shared" si="52"/>
        <v>2</v>
      </c>
      <c r="M294">
        <f t="shared" si="46"/>
        <v>1160</v>
      </c>
      <c r="N294">
        <f t="shared" si="47"/>
        <v>290</v>
      </c>
      <c r="O294">
        <f t="shared" si="48"/>
        <v>870</v>
      </c>
      <c r="R294" s="21" t="str">
        <f t="shared" si="51"/>
        <v>Kaatru… Kaatru... Uyir  by Indira Soundarajan</v>
      </c>
    </row>
    <row r="295" spans="1:18" ht="18.3" x14ac:dyDescent="0.4">
      <c r="A295">
        <v>3116</v>
      </c>
      <c r="B295" t="s">
        <v>632</v>
      </c>
      <c r="C295" t="s">
        <v>622</v>
      </c>
      <c r="D295" t="s">
        <v>633</v>
      </c>
      <c r="E295" t="s">
        <v>13</v>
      </c>
      <c r="F295" t="s">
        <v>504</v>
      </c>
      <c r="G295">
        <v>340</v>
      </c>
      <c r="H295">
        <v>4</v>
      </c>
      <c r="I295" s="16">
        <f t="shared" si="44"/>
        <v>1360</v>
      </c>
      <c r="J295">
        <v>0</v>
      </c>
      <c r="K295">
        <f t="shared" si="45"/>
        <v>0</v>
      </c>
      <c r="L295">
        <f t="shared" si="52"/>
        <v>4</v>
      </c>
      <c r="M295">
        <f t="shared" si="46"/>
        <v>1360</v>
      </c>
      <c r="N295">
        <f t="shared" si="47"/>
        <v>340</v>
      </c>
      <c r="O295">
        <f t="shared" si="48"/>
        <v>1020</v>
      </c>
      <c r="R295" s="21" t="str">
        <f t="shared" si="51"/>
        <v>Kannigal Ezhu Per  by Indira Soundarajan</v>
      </c>
    </row>
    <row r="296" spans="1:18" ht="18.3" x14ac:dyDescent="0.4">
      <c r="A296">
        <v>703</v>
      </c>
      <c r="B296" t="s">
        <v>634</v>
      </c>
      <c r="C296" t="s">
        <v>622</v>
      </c>
      <c r="D296" t="s">
        <v>635</v>
      </c>
      <c r="E296" t="s">
        <v>13</v>
      </c>
      <c r="F296" t="s">
        <v>504</v>
      </c>
      <c r="G296">
        <v>290</v>
      </c>
      <c r="H296">
        <v>4</v>
      </c>
      <c r="I296" s="16">
        <f t="shared" si="44"/>
        <v>1160</v>
      </c>
      <c r="J296">
        <v>3</v>
      </c>
      <c r="K296">
        <f t="shared" si="45"/>
        <v>870</v>
      </c>
      <c r="L296">
        <f t="shared" si="52"/>
        <v>1</v>
      </c>
      <c r="M296">
        <f t="shared" si="46"/>
        <v>290</v>
      </c>
      <c r="N296">
        <f t="shared" si="47"/>
        <v>72.5</v>
      </c>
      <c r="O296">
        <f t="shared" si="48"/>
        <v>217.5</v>
      </c>
      <c r="R296" s="21" t="str">
        <f t="shared" si="51"/>
        <v>Kottaipurathu Veedu  by Indira Soundarajan</v>
      </c>
    </row>
    <row r="297" spans="1:18" ht="18.3" x14ac:dyDescent="0.4">
      <c r="A297">
        <v>5934</v>
      </c>
      <c r="B297" t="s">
        <v>636</v>
      </c>
      <c r="C297" t="s">
        <v>622</v>
      </c>
      <c r="D297" t="s">
        <v>637</v>
      </c>
      <c r="E297" t="s">
        <v>13</v>
      </c>
      <c r="F297" t="s">
        <v>116</v>
      </c>
      <c r="G297">
        <v>100</v>
      </c>
      <c r="H297">
        <v>4</v>
      </c>
      <c r="I297" s="16">
        <f t="shared" si="44"/>
        <v>400</v>
      </c>
      <c r="J297">
        <v>0</v>
      </c>
      <c r="K297">
        <f t="shared" si="45"/>
        <v>0</v>
      </c>
      <c r="L297">
        <f t="shared" si="52"/>
        <v>4</v>
      </c>
      <c r="M297">
        <f t="shared" si="46"/>
        <v>400</v>
      </c>
      <c r="N297">
        <f t="shared" si="47"/>
        <v>100</v>
      </c>
      <c r="O297">
        <f t="shared" si="48"/>
        <v>300</v>
      </c>
      <c r="R297" s="21" t="str">
        <f t="shared" si="51"/>
        <v>Krishnadaasi  by Indira Soundarajan</v>
      </c>
    </row>
    <row r="298" spans="1:18" ht="18.3" x14ac:dyDescent="0.4">
      <c r="A298">
        <v>9116</v>
      </c>
      <c r="B298" t="s">
        <v>638</v>
      </c>
      <c r="C298" t="s">
        <v>622</v>
      </c>
      <c r="D298" t="s">
        <v>639</v>
      </c>
      <c r="E298" t="s">
        <v>13</v>
      </c>
      <c r="F298" t="s">
        <v>116</v>
      </c>
      <c r="G298">
        <v>110</v>
      </c>
      <c r="H298">
        <v>4</v>
      </c>
      <c r="I298" s="16">
        <f t="shared" si="44"/>
        <v>440</v>
      </c>
      <c r="J298">
        <v>3</v>
      </c>
      <c r="K298">
        <f t="shared" si="45"/>
        <v>330</v>
      </c>
      <c r="L298">
        <f t="shared" si="52"/>
        <v>1</v>
      </c>
      <c r="M298">
        <f t="shared" si="46"/>
        <v>110</v>
      </c>
      <c r="N298">
        <f t="shared" si="47"/>
        <v>27.5</v>
      </c>
      <c r="O298">
        <f t="shared" si="48"/>
        <v>82.5</v>
      </c>
      <c r="R298" s="21" t="str">
        <f t="shared" si="51"/>
        <v>Marma Veedu  by Indira Soundarajan</v>
      </c>
    </row>
    <row r="299" spans="1:18" ht="18.3" x14ac:dyDescent="0.4">
      <c r="A299">
        <v>4488</v>
      </c>
      <c r="B299" t="s">
        <v>640</v>
      </c>
      <c r="C299" t="s">
        <v>622</v>
      </c>
      <c r="D299" t="s">
        <v>641</v>
      </c>
      <c r="E299" t="s">
        <v>13</v>
      </c>
      <c r="F299" t="s">
        <v>116</v>
      </c>
      <c r="G299">
        <v>150</v>
      </c>
      <c r="H299">
        <v>4</v>
      </c>
      <c r="I299" s="16">
        <f t="shared" si="44"/>
        <v>600</v>
      </c>
      <c r="J299">
        <v>0</v>
      </c>
      <c r="K299">
        <f t="shared" si="45"/>
        <v>0</v>
      </c>
      <c r="L299">
        <f t="shared" si="52"/>
        <v>4</v>
      </c>
      <c r="M299">
        <f t="shared" si="46"/>
        <v>600</v>
      </c>
      <c r="N299">
        <f t="shared" si="47"/>
        <v>150</v>
      </c>
      <c r="O299">
        <f t="shared" si="48"/>
        <v>450</v>
      </c>
      <c r="R299" s="21" t="str">
        <f t="shared" si="51"/>
        <v>Naan Ennai Thedugirean!  by Indira Soundarajan</v>
      </c>
    </row>
    <row r="300" spans="1:18" ht="18.3" x14ac:dyDescent="0.4">
      <c r="A300">
        <v>4657</v>
      </c>
      <c r="B300" t="s">
        <v>642</v>
      </c>
      <c r="C300" t="s">
        <v>622</v>
      </c>
      <c r="D300" t="s">
        <v>643</v>
      </c>
      <c r="E300" t="s">
        <v>13</v>
      </c>
      <c r="F300" t="s">
        <v>504</v>
      </c>
      <c r="G300">
        <v>340</v>
      </c>
      <c r="H300">
        <v>4</v>
      </c>
      <c r="I300" s="16">
        <f t="shared" si="44"/>
        <v>1360</v>
      </c>
      <c r="J300">
        <v>1</v>
      </c>
      <c r="K300">
        <f t="shared" si="45"/>
        <v>340</v>
      </c>
      <c r="L300">
        <f t="shared" si="52"/>
        <v>3</v>
      </c>
      <c r="M300">
        <f t="shared" si="46"/>
        <v>1020</v>
      </c>
      <c r="N300">
        <f t="shared" si="47"/>
        <v>255</v>
      </c>
      <c r="O300">
        <f t="shared" si="48"/>
        <v>765</v>
      </c>
      <c r="R300" s="21" t="str">
        <f t="shared" si="51"/>
        <v>Nizhalai Varuven  by Indira Soundarajan</v>
      </c>
    </row>
    <row r="301" spans="1:18" ht="18.3" x14ac:dyDescent="0.4">
      <c r="A301">
        <v>6881</v>
      </c>
      <c r="B301" t="s">
        <v>644</v>
      </c>
      <c r="C301" t="s">
        <v>622</v>
      </c>
      <c r="D301" t="s">
        <v>645</v>
      </c>
      <c r="E301" t="s">
        <v>13</v>
      </c>
      <c r="F301" t="s">
        <v>44</v>
      </c>
      <c r="G301">
        <v>360</v>
      </c>
      <c r="H301">
        <v>4</v>
      </c>
      <c r="I301" s="16">
        <f t="shared" si="44"/>
        <v>1440</v>
      </c>
      <c r="J301">
        <v>2</v>
      </c>
      <c r="K301">
        <f t="shared" si="45"/>
        <v>720</v>
      </c>
      <c r="L301">
        <f t="shared" si="52"/>
        <v>2</v>
      </c>
      <c r="M301">
        <f t="shared" si="46"/>
        <v>720</v>
      </c>
      <c r="N301">
        <f t="shared" si="47"/>
        <v>180</v>
      </c>
      <c r="O301">
        <f t="shared" si="48"/>
        <v>540</v>
      </c>
      <c r="R301" s="21" t="str">
        <f t="shared" si="51"/>
        <v>Olivatharkku Vazhiillai  by Indira Soundarajan</v>
      </c>
    </row>
    <row r="302" spans="1:18" ht="18.3" x14ac:dyDescent="0.4">
      <c r="A302">
        <v>3436</v>
      </c>
      <c r="B302" t="s">
        <v>646</v>
      </c>
      <c r="C302" t="s">
        <v>622</v>
      </c>
      <c r="D302" t="s">
        <v>647</v>
      </c>
      <c r="E302" t="s">
        <v>13</v>
      </c>
      <c r="F302" t="s">
        <v>504</v>
      </c>
      <c r="G302">
        <v>110</v>
      </c>
      <c r="H302">
        <v>4</v>
      </c>
      <c r="I302" s="16">
        <f t="shared" si="44"/>
        <v>440</v>
      </c>
      <c r="J302">
        <v>0</v>
      </c>
      <c r="K302">
        <f t="shared" si="45"/>
        <v>0</v>
      </c>
      <c r="L302">
        <f t="shared" si="52"/>
        <v>4</v>
      </c>
      <c r="M302">
        <f t="shared" si="46"/>
        <v>440</v>
      </c>
      <c r="N302">
        <f t="shared" si="47"/>
        <v>110</v>
      </c>
      <c r="O302">
        <f t="shared" si="48"/>
        <v>330</v>
      </c>
      <c r="R302" s="21" t="str">
        <f t="shared" si="51"/>
        <v>Oru Mul Oru Malar  by Indira Soundarajan</v>
      </c>
    </row>
    <row r="303" spans="1:18" ht="18.3" x14ac:dyDescent="0.4">
      <c r="A303">
        <v>1639</v>
      </c>
      <c r="B303" t="s">
        <v>648</v>
      </c>
      <c r="C303" t="s">
        <v>622</v>
      </c>
      <c r="D303" t="s">
        <v>649</v>
      </c>
      <c r="E303" t="s">
        <v>13</v>
      </c>
      <c r="F303" t="s">
        <v>504</v>
      </c>
      <c r="G303">
        <v>300</v>
      </c>
      <c r="H303">
        <v>4</v>
      </c>
      <c r="I303" s="16">
        <f t="shared" si="44"/>
        <v>1200</v>
      </c>
      <c r="J303">
        <v>3</v>
      </c>
      <c r="K303">
        <f t="shared" si="45"/>
        <v>900</v>
      </c>
      <c r="L303">
        <f t="shared" si="52"/>
        <v>1</v>
      </c>
      <c r="M303">
        <f t="shared" si="46"/>
        <v>300</v>
      </c>
      <c r="N303">
        <f t="shared" si="47"/>
        <v>75</v>
      </c>
      <c r="O303">
        <f t="shared" si="48"/>
        <v>225</v>
      </c>
      <c r="R303" s="21" t="str">
        <f t="shared" si="51"/>
        <v>Pashana Lingam  by Indira Soundarajan</v>
      </c>
    </row>
    <row r="304" spans="1:18" ht="18.3" x14ac:dyDescent="0.4">
      <c r="A304">
        <v>364</v>
      </c>
      <c r="B304" t="s">
        <v>650</v>
      </c>
      <c r="C304" t="s">
        <v>622</v>
      </c>
      <c r="D304" t="s">
        <v>651</v>
      </c>
      <c r="E304" t="s">
        <v>13</v>
      </c>
      <c r="F304" t="s">
        <v>136</v>
      </c>
      <c r="G304">
        <v>510</v>
      </c>
      <c r="H304">
        <v>4</v>
      </c>
      <c r="I304" s="16">
        <f t="shared" si="44"/>
        <v>2040</v>
      </c>
      <c r="J304">
        <v>2</v>
      </c>
      <c r="K304">
        <f t="shared" si="45"/>
        <v>1020</v>
      </c>
      <c r="L304">
        <f t="shared" si="52"/>
        <v>2</v>
      </c>
      <c r="M304">
        <f t="shared" si="46"/>
        <v>1020</v>
      </c>
      <c r="N304">
        <f t="shared" si="47"/>
        <v>255</v>
      </c>
      <c r="O304">
        <f t="shared" si="48"/>
        <v>765</v>
      </c>
      <c r="R304" s="21" t="str">
        <f t="shared" si="51"/>
        <v>Ragasiyamaga Oru Ragasiyam  by Indira Soundarajan</v>
      </c>
    </row>
    <row r="305" spans="1:18" ht="18.3" x14ac:dyDescent="0.4">
      <c r="A305">
        <v>931</v>
      </c>
      <c r="B305" t="s">
        <v>652</v>
      </c>
      <c r="C305" t="s">
        <v>622</v>
      </c>
      <c r="D305" t="s">
        <v>653</v>
      </c>
      <c r="E305" t="s">
        <v>13</v>
      </c>
      <c r="F305" t="s">
        <v>504</v>
      </c>
      <c r="G305">
        <v>520</v>
      </c>
      <c r="H305">
        <v>4</v>
      </c>
      <c r="I305" s="16">
        <f t="shared" si="44"/>
        <v>2080</v>
      </c>
      <c r="J305">
        <v>3</v>
      </c>
      <c r="K305">
        <f t="shared" si="45"/>
        <v>1560</v>
      </c>
      <c r="L305">
        <f t="shared" si="52"/>
        <v>1</v>
      </c>
      <c r="M305">
        <f t="shared" si="46"/>
        <v>520</v>
      </c>
      <c r="N305">
        <f t="shared" si="47"/>
        <v>130</v>
      </c>
      <c r="O305">
        <f t="shared" si="48"/>
        <v>390</v>
      </c>
      <c r="R305" s="21" t="str">
        <f t="shared" si="51"/>
        <v>Sivam  by Indira Soundarajan</v>
      </c>
    </row>
    <row r="306" spans="1:18" ht="18.3" x14ac:dyDescent="0.4">
      <c r="A306">
        <v>2859</v>
      </c>
      <c r="B306" t="s">
        <v>654</v>
      </c>
      <c r="C306" t="s">
        <v>622</v>
      </c>
      <c r="D306" t="s">
        <v>655</v>
      </c>
      <c r="E306" t="s">
        <v>13</v>
      </c>
      <c r="F306" t="s">
        <v>504</v>
      </c>
      <c r="G306">
        <v>550</v>
      </c>
      <c r="H306">
        <v>4</v>
      </c>
      <c r="I306" s="16">
        <f t="shared" si="44"/>
        <v>2200</v>
      </c>
      <c r="J306">
        <v>3</v>
      </c>
      <c r="K306">
        <f t="shared" si="45"/>
        <v>1650</v>
      </c>
      <c r="L306">
        <f t="shared" si="52"/>
        <v>1</v>
      </c>
      <c r="M306">
        <f t="shared" si="46"/>
        <v>550</v>
      </c>
      <c r="N306">
        <f t="shared" si="47"/>
        <v>137.5</v>
      </c>
      <c r="O306">
        <f t="shared" si="48"/>
        <v>412.5</v>
      </c>
      <c r="R306" s="21" t="str">
        <f t="shared" si="51"/>
        <v>Sivamayam Part - 1  by Indira Soundarajan</v>
      </c>
    </row>
    <row r="307" spans="1:18" ht="18.3" x14ac:dyDescent="0.4">
      <c r="A307">
        <v>2973</v>
      </c>
      <c r="B307" t="s">
        <v>656</v>
      </c>
      <c r="C307" t="s">
        <v>622</v>
      </c>
      <c r="D307" t="s">
        <v>657</v>
      </c>
      <c r="E307" t="s">
        <v>13</v>
      </c>
      <c r="F307" t="s">
        <v>504</v>
      </c>
      <c r="G307">
        <v>550</v>
      </c>
      <c r="H307">
        <v>4</v>
      </c>
      <c r="I307" s="16">
        <f t="shared" si="44"/>
        <v>2200</v>
      </c>
      <c r="J307">
        <v>0</v>
      </c>
      <c r="K307">
        <f t="shared" si="45"/>
        <v>0</v>
      </c>
      <c r="L307">
        <f t="shared" si="52"/>
        <v>4</v>
      </c>
      <c r="M307">
        <f t="shared" si="46"/>
        <v>2200</v>
      </c>
      <c r="N307">
        <f t="shared" si="47"/>
        <v>550</v>
      </c>
      <c r="O307">
        <f t="shared" si="48"/>
        <v>1650</v>
      </c>
      <c r="R307" s="21" t="str">
        <f t="shared" si="51"/>
        <v>Sivamayam Part - 2  by Indira Soundarajan</v>
      </c>
    </row>
    <row r="308" spans="1:18" ht="18.3" x14ac:dyDescent="0.4">
      <c r="A308">
        <v>5945</v>
      </c>
      <c r="B308" t="s">
        <v>658</v>
      </c>
      <c r="C308" t="s">
        <v>622</v>
      </c>
      <c r="D308" t="s">
        <v>659</v>
      </c>
      <c r="E308" t="s">
        <v>13</v>
      </c>
      <c r="F308" t="s">
        <v>504</v>
      </c>
      <c r="G308">
        <v>120</v>
      </c>
      <c r="H308">
        <v>4</v>
      </c>
      <c r="I308" s="16">
        <f t="shared" si="44"/>
        <v>480</v>
      </c>
      <c r="J308">
        <v>1</v>
      </c>
      <c r="K308">
        <f t="shared" si="45"/>
        <v>120</v>
      </c>
      <c r="L308">
        <f t="shared" si="52"/>
        <v>3</v>
      </c>
      <c r="M308">
        <f t="shared" si="46"/>
        <v>360</v>
      </c>
      <c r="N308">
        <f t="shared" si="47"/>
        <v>90</v>
      </c>
      <c r="O308">
        <f t="shared" si="48"/>
        <v>270</v>
      </c>
      <c r="R308" s="21" t="str">
        <f t="shared" si="51"/>
        <v>Sivaragasiyam  by Indira Soundarajan</v>
      </c>
    </row>
    <row r="309" spans="1:18" ht="18.3" x14ac:dyDescent="0.4">
      <c r="A309">
        <v>4658</v>
      </c>
      <c r="B309" t="s">
        <v>660</v>
      </c>
      <c r="C309" t="s">
        <v>622</v>
      </c>
      <c r="D309" t="s">
        <v>661</v>
      </c>
      <c r="E309" t="s">
        <v>13</v>
      </c>
      <c r="F309" t="s">
        <v>504</v>
      </c>
      <c r="G309">
        <v>110</v>
      </c>
      <c r="H309">
        <v>4</v>
      </c>
      <c r="I309" s="16">
        <f t="shared" si="44"/>
        <v>440</v>
      </c>
      <c r="J309">
        <v>0</v>
      </c>
      <c r="K309">
        <f t="shared" si="45"/>
        <v>0</v>
      </c>
      <c r="L309">
        <f t="shared" si="52"/>
        <v>4</v>
      </c>
      <c r="M309">
        <f t="shared" si="46"/>
        <v>440</v>
      </c>
      <c r="N309">
        <f t="shared" si="47"/>
        <v>110</v>
      </c>
      <c r="O309">
        <f t="shared" si="48"/>
        <v>330</v>
      </c>
      <c r="R309" s="21" t="str">
        <f t="shared" si="51"/>
        <v>Uyir  by Indira Soundarajan</v>
      </c>
    </row>
    <row r="310" spans="1:18" ht="18.3" x14ac:dyDescent="0.4">
      <c r="A310">
        <v>3555</v>
      </c>
      <c r="B310" t="s">
        <v>662</v>
      </c>
      <c r="C310" t="s">
        <v>622</v>
      </c>
      <c r="D310" t="s">
        <v>663</v>
      </c>
      <c r="E310" t="s">
        <v>13</v>
      </c>
      <c r="F310" t="s">
        <v>504</v>
      </c>
      <c r="G310">
        <v>240</v>
      </c>
      <c r="H310">
        <v>4</v>
      </c>
      <c r="I310" s="16">
        <f t="shared" si="44"/>
        <v>960</v>
      </c>
      <c r="J310">
        <v>0</v>
      </c>
      <c r="K310">
        <f t="shared" si="45"/>
        <v>0</v>
      </c>
      <c r="L310">
        <f t="shared" si="52"/>
        <v>4</v>
      </c>
      <c r="M310">
        <f t="shared" si="46"/>
        <v>960</v>
      </c>
      <c r="N310">
        <f t="shared" si="47"/>
        <v>240</v>
      </c>
      <c r="O310">
        <f t="shared" si="48"/>
        <v>720</v>
      </c>
      <c r="R310" s="21" t="str">
        <f t="shared" si="51"/>
        <v>Vidave Vidathu!  by Indira Soundarajan</v>
      </c>
    </row>
    <row r="311" spans="1:18" ht="18.3" x14ac:dyDescent="0.4">
      <c r="A311">
        <v>10274</v>
      </c>
      <c r="B311" t="s">
        <v>664</v>
      </c>
      <c r="C311" t="s">
        <v>665</v>
      </c>
      <c r="D311" t="s">
        <v>666</v>
      </c>
      <c r="E311" t="s">
        <v>13</v>
      </c>
      <c r="F311" t="s">
        <v>44</v>
      </c>
      <c r="G311">
        <v>200</v>
      </c>
      <c r="H311">
        <v>2</v>
      </c>
      <c r="I311" s="16">
        <f t="shared" si="44"/>
        <v>400</v>
      </c>
      <c r="J311">
        <v>0</v>
      </c>
      <c r="K311">
        <f t="shared" si="45"/>
        <v>0</v>
      </c>
      <c r="L311">
        <f t="shared" si="52"/>
        <v>2</v>
      </c>
      <c r="M311">
        <f t="shared" si="46"/>
        <v>400</v>
      </c>
      <c r="N311">
        <f t="shared" si="47"/>
        <v>100</v>
      </c>
      <c r="O311">
        <f t="shared" si="48"/>
        <v>300</v>
      </c>
      <c r="R311" s="21" t="str">
        <f t="shared" si="51"/>
        <v>Yaarendru Mattum Sollathe...  by Indira Soundarajan</v>
      </c>
    </row>
    <row r="312" spans="1:18" hidden="1" x14ac:dyDescent="0.3">
      <c r="A312">
        <v>10272</v>
      </c>
      <c r="B312" t="s">
        <v>667</v>
      </c>
      <c r="C312" t="s">
        <v>665</v>
      </c>
      <c r="D312" t="s">
        <v>668</v>
      </c>
      <c r="E312" t="s">
        <v>13</v>
      </c>
      <c r="F312" t="s">
        <v>44</v>
      </c>
      <c r="G312">
        <v>200</v>
      </c>
      <c r="H312">
        <v>2</v>
      </c>
      <c r="I312" s="16">
        <f t="shared" si="44"/>
        <v>400</v>
      </c>
      <c r="J312">
        <v>2</v>
      </c>
      <c r="K312">
        <f t="shared" si="45"/>
        <v>400</v>
      </c>
      <c r="L312">
        <f t="shared" si="52"/>
        <v>0</v>
      </c>
      <c r="M312">
        <f t="shared" si="46"/>
        <v>0</v>
      </c>
      <c r="N312">
        <f t="shared" si="47"/>
        <v>0</v>
      </c>
      <c r="O312">
        <f t="shared" si="48"/>
        <v>0</v>
      </c>
    </row>
    <row r="313" spans="1:18" hidden="1" x14ac:dyDescent="0.3">
      <c r="A313">
        <v>10296</v>
      </c>
      <c r="B313" t="s">
        <v>669</v>
      </c>
      <c r="C313" t="s">
        <v>665</v>
      </c>
      <c r="D313" t="s">
        <v>670</v>
      </c>
      <c r="E313" t="s">
        <v>13</v>
      </c>
      <c r="F313" t="s">
        <v>136</v>
      </c>
      <c r="G313">
        <v>180</v>
      </c>
      <c r="H313">
        <v>2</v>
      </c>
      <c r="I313" s="16">
        <f t="shared" si="44"/>
        <v>360</v>
      </c>
      <c r="J313">
        <v>2</v>
      </c>
      <c r="K313">
        <f t="shared" si="45"/>
        <v>360</v>
      </c>
      <c r="L313">
        <f t="shared" si="52"/>
        <v>0</v>
      </c>
      <c r="M313">
        <f t="shared" si="46"/>
        <v>0</v>
      </c>
      <c r="N313">
        <f t="shared" si="47"/>
        <v>0</v>
      </c>
      <c r="O313">
        <f t="shared" si="48"/>
        <v>0</v>
      </c>
    </row>
    <row r="314" spans="1:18" hidden="1" x14ac:dyDescent="0.3">
      <c r="A314">
        <v>10420</v>
      </c>
      <c r="B314" t="s">
        <v>671</v>
      </c>
      <c r="C314" t="s">
        <v>665</v>
      </c>
      <c r="D314" t="s">
        <v>672</v>
      </c>
      <c r="E314" t="s">
        <v>13</v>
      </c>
      <c r="F314" t="s">
        <v>136</v>
      </c>
      <c r="G314">
        <v>400</v>
      </c>
      <c r="H314">
        <v>2</v>
      </c>
      <c r="I314" s="16">
        <f t="shared" si="44"/>
        <v>800</v>
      </c>
      <c r="J314">
        <v>2</v>
      </c>
      <c r="K314">
        <f t="shared" si="45"/>
        <v>800</v>
      </c>
      <c r="L314">
        <f t="shared" si="52"/>
        <v>0</v>
      </c>
      <c r="M314">
        <f t="shared" si="46"/>
        <v>0</v>
      </c>
      <c r="N314">
        <f t="shared" si="47"/>
        <v>0</v>
      </c>
      <c r="O314">
        <f t="shared" si="48"/>
        <v>0</v>
      </c>
    </row>
    <row r="315" spans="1:18" hidden="1" x14ac:dyDescent="0.3">
      <c r="A315">
        <v>11981</v>
      </c>
      <c r="B315" t="s">
        <v>673</v>
      </c>
      <c r="C315" t="s">
        <v>665</v>
      </c>
      <c r="D315" t="s">
        <v>674</v>
      </c>
      <c r="E315" t="s">
        <v>13</v>
      </c>
      <c r="F315" t="s">
        <v>675</v>
      </c>
      <c r="G315">
        <v>330</v>
      </c>
      <c r="H315">
        <v>2</v>
      </c>
      <c r="I315" s="16">
        <f t="shared" si="44"/>
        <v>660</v>
      </c>
      <c r="J315">
        <v>2</v>
      </c>
      <c r="K315">
        <f t="shared" si="45"/>
        <v>660</v>
      </c>
      <c r="L315">
        <f t="shared" si="52"/>
        <v>0</v>
      </c>
      <c r="M315">
        <f t="shared" si="46"/>
        <v>0</v>
      </c>
      <c r="N315">
        <f t="shared" si="47"/>
        <v>0</v>
      </c>
      <c r="O315">
        <f t="shared" si="48"/>
        <v>0</v>
      </c>
    </row>
    <row r="316" spans="1:18" hidden="1" x14ac:dyDescent="0.3">
      <c r="A316">
        <v>10275</v>
      </c>
      <c r="B316" t="s">
        <v>676</v>
      </c>
      <c r="C316" t="s">
        <v>665</v>
      </c>
      <c r="D316" t="s">
        <v>677</v>
      </c>
      <c r="E316" t="s">
        <v>13</v>
      </c>
      <c r="F316" t="s">
        <v>44</v>
      </c>
      <c r="G316">
        <v>200</v>
      </c>
      <c r="H316">
        <v>2</v>
      </c>
      <c r="I316" s="16">
        <f t="shared" si="44"/>
        <v>400</v>
      </c>
      <c r="J316">
        <v>2</v>
      </c>
      <c r="K316">
        <f t="shared" si="45"/>
        <v>400</v>
      </c>
      <c r="L316">
        <f t="shared" si="52"/>
        <v>0</v>
      </c>
      <c r="M316">
        <f t="shared" si="46"/>
        <v>0</v>
      </c>
      <c r="N316">
        <f t="shared" si="47"/>
        <v>0</v>
      </c>
      <c r="O316">
        <f t="shared" si="48"/>
        <v>0</v>
      </c>
    </row>
    <row r="317" spans="1:18" hidden="1" x14ac:dyDescent="0.3">
      <c r="A317">
        <v>10963</v>
      </c>
      <c r="B317" t="s">
        <v>678</v>
      </c>
      <c r="C317" t="s">
        <v>665</v>
      </c>
      <c r="D317" t="s">
        <v>679</v>
      </c>
      <c r="E317" t="s">
        <v>13</v>
      </c>
      <c r="F317" t="s">
        <v>44</v>
      </c>
      <c r="G317">
        <v>190</v>
      </c>
      <c r="H317">
        <v>2</v>
      </c>
      <c r="I317" s="16">
        <f t="shared" si="44"/>
        <v>380</v>
      </c>
      <c r="J317">
        <v>2</v>
      </c>
      <c r="K317">
        <f t="shared" si="45"/>
        <v>380</v>
      </c>
      <c r="L317">
        <f t="shared" si="52"/>
        <v>0</v>
      </c>
      <c r="M317">
        <f t="shared" si="46"/>
        <v>0</v>
      </c>
      <c r="N317">
        <f t="shared" si="47"/>
        <v>0</v>
      </c>
      <c r="O317">
        <f t="shared" si="48"/>
        <v>0</v>
      </c>
    </row>
    <row r="318" spans="1:18" hidden="1" x14ac:dyDescent="0.3">
      <c r="A318">
        <v>3317</v>
      </c>
      <c r="B318" t="s">
        <v>680</v>
      </c>
      <c r="C318" t="s">
        <v>681</v>
      </c>
      <c r="D318" t="s">
        <v>682</v>
      </c>
      <c r="E318" t="s">
        <v>13</v>
      </c>
      <c r="F318" t="s">
        <v>136</v>
      </c>
      <c r="G318">
        <v>70</v>
      </c>
      <c r="H318">
        <v>2</v>
      </c>
      <c r="I318" s="16">
        <f t="shared" si="44"/>
        <v>140</v>
      </c>
      <c r="J318">
        <v>2</v>
      </c>
      <c r="K318">
        <f t="shared" si="45"/>
        <v>140</v>
      </c>
      <c r="L318">
        <f t="shared" si="52"/>
        <v>0</v>
      </c>
      <c r="M318">
        <f t="shared" si="46"/>
        <v>0</v>
      </c>
      <c r="N318">
        <f t="shared" si="47"/>
        <v>0</v>
      </c>
      <c r="O318">
        <f t="shared" si="48"/>
        <v>0</v>
      </c>
    </row>
    <row r="319" spans="1:18" hidden="1" x14ac:dyDescent="0.3">
      <c r="A319">
        <v>5181</v>
      </c>
      <c r="B319" t="s">
        <v>683</v>
      </c>
      <c r="C319" t="s">
        <v>681</v>
      </c>
      <c r="D319" t="s">
        <v>684</v>
      </c>
      <c r="E319" t="s">
        <v>13</v>
      </c>
      <c r="F319" t="s">
        <v>44</v>
      </c>
      <c r="G319">
        <v>110</v>
      </c>
      <c r="H319">
        <v>2</v>
      </c>
      <c r="I319" s="16">
        <f t="shared" si="44"/>
        <v>220</v>
      </c>
      <c r="J319">
        <v>2</v>
      </c>
      <c r="K319">
        <f t="shared" si="45"/>
        <v>220</v>
      </c>
      <c r="L319">
        <f t="shared" si="52"/>
        <v>0</v>
      </c>
      <c r="M319">
        <f t="shared" si="46"/>
        <v>0</v>
      </c>
      <c r="N319">
        <f t="shared" si="47"/>
        <v>0</v>
      </c>
      <c r="O319">
        <f t="shared" si="48"/>
        <v>0</v>
      </c>
    </row>
    <row r="320" spans="1:18" ht="18.3" x14ac:dyDescent="0.4">
      <c r="A320">
        <v>4522</v>
      </c>
      <c r="B320" t="s">
        <v>685</v>
      </c>
      <c r="C320" t="s">
        <v>681</v>
      </c>
      <c r="D320" t="s">
        <v>686</v>
      </c>
      <c r="E320" t="s">
        <v>13</v>
      </c>
      <c r="F320" t="s">
        <v>44</v>
      </c>
      <c r="G320">
        <v>270</v>
      </c>
      <c r="H320">
        <v>2</v>
      </c>
      <c r="I320" s="16">
        <f t="shared" si="44"/>
        <v>540</v>
      </c>
      <c r="J320">
        <v>1</v>
      </c>
      <c r="K320">
        <f t="shared" si="45"/>
        <v>270</v>
      </c>
      <c r="L320">
        <f t="shared" si="52"/>
        <v>1</v>
      </c>
      <c r="M320">
        <f t="shared" si="46"/>
        <v>270</v>
      </c>
      <c r="N320">
        <f t="shared" si="47"/>
        <v>67.5</v>
      </c>
      <c r="O320">
        <f t="shared" si="48"/>
        <v>202.5</v>
      </c>
      <c r="R320" s="21" t="str">
        <f>_xlfn.TEXTJOIN("  by ",TRUE,B319,C319)</f>
        <v>Veli Thaandiya Velladugal  by Ja. Ra. Sundaresan</v>
      </c>
    </row>
    <row r="321" spans="1:18" hidden="1" x14ac:dyDescent="0.3">
      <c r="A321">
        <v>3246</v>
      </c>
      <c r="B321" t="s">
        <v>687</v>
      </c>
      <c r="C321" t="s">
        <v>681</v>
      </c>
      <c r="D321" t="s">
        <v>688</v>
      </c>
      <c r="E321" t="s">
        <v>13</v>
      </c>
      <c r="F321" t="s">
        <v>44</v>
      </c>
      <c r="G321">
        <v>220</v>
      </c>
      <c r="H321">
        <v>2</v>
      </c>
      <c r="I321" s="16">
        <f t="shared" si="44"/>
        <v>440</v>
      </c>
      <c r="J321">
        <v>2</v>
      </c>
      <c r="K321">
        <f t="shared" si="45"/>
        <v>440</v>
      </c>
      <c r="L321">
        <f t="shared" si="52"/>
        <v>0</v>
      </c>
      <c r="M321">
        <f t="shared" si="46"/>
        <v>0</v>
      </c>
      <c r="N321">
        <f t="shared" si="47"/>
        <v>0</v>
      </c>
      <c r="O321">
        <f t="shared" si="48"/>
        <v>0</v>
      </c>
    </row>
    <row r="322" spans="1:18" hidden="1" x14ac:dyDescent="0.3">
      <c r="A322">
        <v>3325</v>
      </c>
      <c r="B322" t="s">
        <v>689</v>
      </c>
      <c r="C322" t="s">
        <v>681</v>
      </c>
      <c r="D322" t="s">
        <v>690</v>
      </c>
      <c r="E322" t="s">
        <v>13</v>
      </c>
      <c r="F322" t="s">
        <v>44</v>
      </c>
      <c r="G322">
        <v>210</v>
      </c>
      <c r="H322">
        <v>2</v>
      </c>
      <c r="I322" s="16">
        <f t="shared" si="44"/>
        <v>420</v>
      </c>
      <c r="J322">
        <v>2</v>
      </c>
      <c r="K322">
        <f t="shared" si="45"/>
        <v>420</v>
      </c>
      <c r="L322">
        <f t="shared" si="52"/>
        <v>0</v>
      </c>
      <c r="M322">
        <f t="shared" si="46"/>
        <v>0</v>
      </c>
      <c r="N322">
        <f t="shared" si="47"/>
        <v>0</v>
      </c>
      <c r="O322">
        <f t="shared" si="48"/>
        <v>0</v>
      </c>
    </row>
    <row r="323" spans="1:18" hidden="1" x14ac:dyDescent="0.3">
      <c r="A323">
        <v>3445</v>
      </c>
      <c r="B323" t="s">
        <v>691</v>
      </c>
      <c r="C323" t="s">
        <v>681</v>
      </c>
      <c r="D323" t="s">
        <v>692</v>
      </c>
      <c r="E323" t="s">
        <v>13</v>
      </c>
      <c r="F323" t="s">
        <v>44</v>
      </c>
      <c r="G323">
        <v>230</v>
      </c>
      <c r="H323">
        <v>2</v>
      </c>
      <c r="I323" s="16">
        <f t="shared" ref="I323:I386" si="53">H323*G323</f>
        <v>460</v>
      </c>
      <c r="J323">
        <v>2</v>
      </c>
      <c r="K323">
        <f t="shared" ref="K323:K386" si="54">J323*G323</f>
        <v>460</v>
      </c>
      <c r="L323">
        <f t="shared" si="52"/>
        <v>0</v>
      </c>
      <c r="M323">
        <f t="shared" ref="M323:M386" si="55">L323*G323</f>
        <v>0</v>
      </c>
      <c r="N323">
        <f t="shared" ref="N323:N386" si="56">M323*0.25</f>
        <v>0</v>
      </c>
      <c r="O323">
        <f t="shared" ref="O323:O386" si="57">M323-N323</f>
        <v>0</v>
      </c>
    </row>
    <row r="324" spans="1:18" hidden="1" x14ac:dyDescent="0.3">
      <c r="A324">
        <v>3698</v>
      </c>
      <c r="B324" t="s">
        <v>693</v>
      </c>
      <c r="C324" t="s">
        <v>681</v>
      </c>
      <c r="D324" t="s">
        <v>694</v>
      </c>
      <c r="E324" t="s">
        <v>13</v>
      </c>
      <c r="F324" t="s">
        <v>44</v>
      </c>
      <c r="G324">
        <v>240</v>
      </c>
      <c r="H324">
        <v>2</v>
      </c>
      <c r="I324" s="16">
        <f t="shared" si="53"/>
        <v>480</v>
      </c>
      <c r="J324">
        <v>2</v>
      </c>
      <c r="K324">
        <f t="shared" si="54"/>
        <v>480</v>
      </c>
      <c r="L324">
        <f t="shared" si="52"/>
        <v>0</v>
      </c>
      <c r="M324">
        <f t="shared" si="55"/>
        <v>0</v>
      </c>
      <c r="N324">
        <f t="shared" si="56"/>
        <v>0</v>
      </c>
      <c r="O324">
        <f t="shared" si="57"/>
        <v>0</v>
      </c>
    </row>
    <row r="325" spans="1:18" ht="18.3" x14ac:dyDescent="0.4">
      <c r="A325">
        <v>3704</v>
      </c>
      <c r="B325" t="s">
        <v>695</v>
      </c>
      <c r="C325" t="s">
        <v>681</v>
      </c>
      <c r="D325" t="s">
        <v>696</v>
      </c>
      <c r="E325" t="s">
        <v>13</v>
      </c>
      <c r="F325" t="s">
        <v>44</v>
      </c>
      <c r="G325">
        <v>350</v>
      </c>
      <c r="H325">
        <v>2</v>
      </c>
      <c r="I325" s="16">
        <f t="shared" si="53"/>
        <v>700</v>
      </c>
      <c r="J325">
        <v>1</v>
      </c>
      <c r="K325">
        <f t="shared" si="54"/>
        <v>350</v>
      </c>
      <c r="L325">
        <f t="shared" si="52"/>
        <v>1</v>
      </c>
      <c r="M325">
        <f t="shared" si="55"/>
        <v>350</v>
      </c>
      <c r="N325">
        <f t="shared" si="56"/>
        <v>87.5</v>
      </c>
      <c r="O325">
        <f t="shared" si="57"/>
        <v>262.5</v>
      </c>
      <c r="R325" s="21" t="str">
        <f>_xlfn.TEXTJOIN("  by ",TRUE,B324,C324)</f>
        <v>Manas  by Ja. Ra. Sundaresan</v>
      </c>
    </row>
    <row r="326" spans="1:18" hidden="1" x14ac:dyDescent="0.3">
      <c r="A326">
        <v>7563</v>
      </c>
      <c r="B326" t="s">
        <v>697</v>
      </c>
      <c r="C326" t="s">
        <v>698</v>
      </c>
      <c r="D326" t="s">
        <v>699</v>
      </c>
      <c r="E326" t="s">
        <v>13</v>
      </c>
      <c r="F326" t="s">
        <v>14</v>
      </c>
      <c r="G326">
        <v>140</v>
      </c>
      <c r="H326" s="6">
        <v>2</v>
      </c>
      <c r="I326" s="16">
        <f t="shared" si="53"/>
        <v>280</v>
      </c>
      <c r="J326">
        <v>2</v>
      </c>
      <c r="K326">
        <f t="shared" si="54"/>
        <v>280</v>
      </c>
      <c r="L326">
        <f t="shared" si="52"/>
        <v>0</v>
      </c>
      <c r="M326">
        <f t="shared" si="55"/>
        <v>0</v>
      </c>
      <c r="N326">
        <f t="shared" si="56"/>
        <v>0</v>
      </c>
      <c r="O326">
        <f t="shared" si="57"/>
        <v>0</v>
      </c>
    </row>
    <row r="327" spans="1:18" hidden="1" x14ac:dyDescent="0.3">
      <c r="A327">
        <v>7243</v>
      </c>
      <c r="B327" t="s">
        <v>700</v>
      </c>
      <c r="C327" t="s">
        <v>698</v>
      </c>
      <c r="D327" t="s">
        <v>701</v>
      </c>
      <c r="E327" t="s">
        <v>13</v>
      </c>
      <c r="F327" t="s">
        <v>39</v>
      </c>
      <c r="G327">
        <v>140</v>
      </c>
      <c r="H327" s="6">
        <v>2</v>
      </c>
      <c r="I327" s="16">
        <f t="shared" si="53"/>
        <v>280</v>
      </c>
      <c r="J327">
        <v>2</v>
      </c>
      <c r="K327">
        <f t="shared" si="54"/>
        <v>280</v>
      </c>
      <c r="L327">
        <f t="shared" si="52"/>
        <v>0</v>
      </c>
      <c r="M327">
        <f t="shared" si="55"/>
        <v>0</v>
      </c>
      <c r="N327">
        <f t="shared" si="56"/>
        <v>0</v>
      </c>
      <c r="O327">
        <f t="shared" si="57"/>
        <v>0</v>
      </c>
    </row>
    <row r="328" spans="1:18" ht="18.3" x14ac:dyDescent="0.4">
      <c r="A328">
        <v>11678</v>
      </c>
      <c r="B328" t="s">
        <v>702</v>
      </c>
      <c r="C328" t="s">
        <v>703</v>
      </c>
      <c r="D328" t="s">
        <v>704</v>
      </c>
      <c r="E328" t="s">
        <v>13</v>
      </c>
      <c r="F328" t="s">
        <v>705</v>
      </c>
      <c r="G328">
        <v>120</v>
      </c>
      <c r="H328">
        <v>2</v>
      </c>
      <c r="I328" s="16">
        <f t="shared" si="53"/>
        <v>240</v>
      </c>
      <c r="J328">
        <v>1</v>
      </c>
      <c r="K328">
        <f t="shared" si="54"/>
        <v>120</v>
      </c>
      <c r="L328">
        <f t="shared" si="52"/>
        <v>1</v>
      </c>
      <c r="M328">
        <f t="shared" si="55"/>
        <v>120</v>
      </c>
      <c r="N328">
        <f t="shared" si="56"/>
        <v>30</v>
      </c>
      <c r="O328">
        <f t="shared" si="57"/>
        <v>90</v>
      </c>
      <c r="R328" s="21" t="str">
        <f t="shared" ref="R328:R330" si="58">_xlfn.TEXTJOIN("  by ",TRUE,B327,C327)</f>
        <v>Naaliley Nalla Naal  by Jaisakthi</v>
      </c>
    </row>
    <row r="329" spans="1:18" ht="18.3" x14ac:dyDescent="0.4">
      <c r="A329">
        <v>9955</v>
      </c>
      <c r="B329" t="s">
        <v>706</v>
      </c>
      <c r="C329" t="s">
        <v>703</v>
      </c>
      <c r="D329" t="s">
        <v>707</v>
      </c>
      <c r="E329" t="s">
        <v>13</v>
      </c>
      <c r="F329" t="s">
        <v>705</v>
      </c>
      <c r="G329">
        <v>120</v>
      </c>
      <c r="H329">
        <v>2</v>
      </c>
      <c r="I329" s="16">
        <f t="shared" si="53"/>
        <v>240</v>
      </c>
      <c r="J329">
        <v>0</v>
      </c>
      <c r="K329">
        <f t="shared" si="54"/>
        <v>0</v>
      </c>
      <c r="L329">
        <f t="shared" si="52"/>
        <v>2</v>
      </c>
      <c r="M329">
        <f t="shared" si="55"/>
        <v>240</v>
      </c>
      <c r="N329">
        <f t="shared" si="56"/>
        <v>60</v>
      </c>
      <c r="O329">
        <f t="shared" si="57"/>
        <v>180</v>
      </c>
      <c r="R329" s="21" t="str">
        <f t="shared" si="58"/>
        <v>Mudhal Seya Virumbu - Part 1  by Jay Zen</v>
      </c>
    </row>
    <row r="330" spans="1:18" ht="18.3" x14ac:dyDescent="0.4">
      <c r="A330">
        <v>9956</v>
      </c>
      <c r="B330" t="s">
        <v>708</v>
      </c>
      <c r="C330" t="s">
        <v>703</v>
      </c>
      <c r="D330" t="s">
        <v>709</v>
      </c>
      <c r="E330" t="s">
        <v>447</v>
      </c>
      <c r="F330" t="s">
        <v>705</v>
      </c>
      <c r="G330">
        <v>100</v>
      </c>
      <c r="H330">
        <v>2</v>
      </c>
      <c r="I330" s="16">
        <f t="shared" si="53"/>
        <v>200</v>
      </c>
      <c r="J330">
        <v>1</v>
      </c>
      <c r="K330">
        <f t="shared" si="54"/>
        <v>100</v>
      </c>
      <c r="L330">
        <f t="shared" si="52"/>
        <v>1</v>
      </c>
      <c r="M330">
        <f t="shared" si="55"/>
        <v>100</v>
      </c>
      <c r="N330">
        <f t="shared" si="56"/>
        <v>25</v>
      </c>
      <c r="O330">
        <f t="shared" si="57"/>
        <v>75</v>
      </c>
      <c r="R330" s="21" t="str">
        <f t="shared" si="58"/>
        <v>Oru Koppai Zen  by Jay Zen</v>
      </c>
    </row>
    <row r="331" spans="1:18" hidden="1" x14ac:dyDescent="0.3">
      <c r="A331">
        <v>6761</v>
      </c>
      <c r="B331" t="s">
        <v>710</v>
      </c>
      <c r="C331" t="s">
        <v>711</v>
      </c>
      <c r="D331" t="s">
        <v>712</v>
      </c>
      <c r="E331" t="s">
        <v>13</v>
      </c>
      <c r="F331" t="s">
        <v>44</v>
      </c>
      <c r="G331">
        <v>170</v>
      </c>
      <c r="H331">
        <v>2</v>
      </c>
      <c r="I331" s="16">
        <f t="shared" si="53"/>
        <v>340</v>
      </c>
      <c r="J331">
        <v>2</v>
      </c>
      <c r="K331">
        <f t="shared" si="54"/>
        <v>340</v>
      </c>
      <c r="L331">
        <f t="shared" si="52"/>
        <v>0</v>
      </c>
      <c r="M331">
        <f t="shared" si="55"/>
        <v>0</v>
      </c>
      <c r="N331">
        <f t="shared" si="56"/>
        <v>0</v>
      </c>
      <c r="O331">
        <f t="shared" si="57"/>
        <v>0</v>
      </c>
    </row>
    <row r="332" spans="1:18" ht="18.3" x14ac:dyDescent="0.4">
      <c r="A332">
        <v>6765</v>
      </c>
      <c r="B332" t="s">
        <v>713</v>
      </c>
      <c r="C332" t="s">
        <v>711</v>
      </c>
      <c r="D332" t="s">
        <v>714</v>
      </c>
      <c r="E332" t="s">
        <v>13</v>
      </c>
      <c r="F332" t="s">
        <v>44</v>
      </c>
      <c r="G332">
        <v>80</v>
      </c>
      <c r="H332">
        <v>2</v>
      </c>
      <c r="I332" s="16">
        <f t="shared" si="53"/>
        <v>160</v>
      </c>
      <c r="J332">
        <v>1</v>
      </c>
      <c r="K332">
        <f t="shared" si="54"/>
        <v>80</v>
      </c>
      <c r="L332">
        <f t="shared" si="52"/>
        <v>1</v>
      </c>
      <c r="M332">
        <f t="shared" si="55"/>
        <v>80</v>
      </c>
      <c r="N332">
        <f t="shared" si="56"/>
        <v>20</v>
      </c>
      <c r="O332">
        <f t="shared" si="57"/>
        <v>60</v>
      </c>
      <c r="R332" s="21" t="str">
        <f t="shared" ref="R332:R333" si="59">_xlfn.TEXTJOIN("  by ",TRUE,B331,C331)</f>
        <v>D.M.K. – Samooga Neethi  by K.S. Radhakrishnan</v>
      </c>
    </row>
    <row r="333" spans="1:18" ht="18.3" x14ac:dyDescent="0.4">
      <c r="A333">
        <v>8643</v>
      </c>
      <c r="B333" t="s">
        <v>715</v>
      </c>
      <c r="C333" t="s">
        <v>711</v>
      </c>
      <c r="D333" t="s">
        <v>716</v>
      </c>
      <c r="E333" t="s">
        <v>13</v>
      </c>
      <c r="F333" t="s">
        <v>44</v>
      </c>
      <c r="G333">
        <v>290</v>
      </c>
      <c r="H333">
        <v>2</v>
      </c>
      <c r="I333" s="16">
        <f t="shared" si="53"/>
        <v>580</v>
      </c>
      <c r="J333">
        <v>1</v>
      </c>
      <c r="K333">
        <f t="shared" si="54"/>
        <v>290</v>
      </c>
      <c r="L333">
        <f t="shared" si="52"/>
        <v>1</v>
      </c>
      <c r="M333">
        <f t="shared" si="55"/>
        <v>290</v>
      </c>
      <c r="N333">
        <f t="shared" si="56"/>
        <v>72.5</v>
      </c>
      <c r="O333">
        <f t="shared" si="57"/>
        <v>217.5</v>
      </c>
      <c r="R333" s="21" t="str">
        <f t="shared" si="59"/>
        <v>Eezha Tamizhar Prachanai  by K.S. Radhakrishnan</v>
      </c>
    </row>
    <row r="334" spans="1:18" hidden="1" x14ac:dyDescent="0.3">
      <c r="A334">
        <v>7191</v>
      </c>
      <c r="B334" t="s">
        <v>717</v>
      </c>
      <c r="C334" t="s">
        <v>711</v>
      </c>
      <c r="D334" t="s">
        <v>718</v>
      </c>
      <c r="E334" t="s">
        <v>13</v>
      </c>
      <c r="F334" t="s">
        <v>44</v>
      </c>
      <c r="G334">
        <v>1510</v>
      </c>
      <c r="H334">
        <v>2</v>
      </c>
      <c r="I334" s="16">
        <f t="shared" si="53"/>
        <v>3020</v>
      </c>
      <c r="J334">
        <v>2</v>
      </c>
      <c r="K334">
        <f t="shared" si="54"/>
        <v>3020</v>
      </c>
      <c r="L334">
        <f t="shared" si="52"/>
        <v>0</v>
      </c>
      <c r="M334">
        <f t="shared" si="55"/>
        <v>0</v>
      </c>
      <c r="N334">
        <f t="shared" si="56"/>
        <v>0</v>
      </c>
      <c r="O334">
        <f t="shared" si="57"/>
        <v>0</v>
      </c>
    </row>
    <row r="335" spans="1:18" hidden="1" x14ac:dyDescent="0.3">
      <c r="A335">
        <v>9649</v>
      </c>
      <c r="B335" t="s">
        <v>719</v>
      </c>
      <c r="C335" t="s">
        <v>711</v>
      </c>
      <c r="D335" t="s">
        <v>720</v>
      </c>
      <c r="E335" t="s">
        <v>13</v>
      </c>
      <c r="F335" t="s">
        <v>492</v>
      </c>
      <c r="G335">
        <v>870</v>
      </c>
      <c r="H335">
        <v>2</v>
      </c>
      <c r="I335" s="16">
        <f t="shared" si="53"/>
        <v>1740</v>
      </c>
      <c r="J335">
        <v>2</v>
      </c>
      <c r="K335">
        <f t="shared" si="54"/>
        <v>1740</v>
      </c>
      <c r="L335">
        <f t="shared" si="52"/>
        <v>0</v>
      </c>
      <c r="M335">
        <f t="shared" si="55"/>
        <v>0</v>
      </c>
      <c r="N335">
        <f t="shared" si="56"/>
        <v>0</v>
      </c>
      <c r="O335">
        <f t="shared" si="57"/>
        <v>0</v>
      </c>
    </row>
    <row r="336" spans="1:18" hidden="1" x14ac:dyDescent="0.3">
      <c r="A336">
        <v>9650</v>
      </c>
      <c r="B336" t="s">
        <v>721</v>
      </c>
      <c r="C336" t="s">
        <v>711</v>
      </c>
      <c r="D336" t="s">
        <v>722</v>
      </c>
      <c r="E336" t="s">
        <v>13</v>
      </c>
      <c r="F336" t="s">
        <v>492</v>
      </c>
      <c r="G336">
        <v>920</v>
      </c>
      <c r="H336">
        <v>2</v>
      </c>
      <c r="I336" s="16">
        <f t="shared" si="53"/>
        <v>1840</v>
      </c>
      <c r="J336">
        <v>2</v>
      </c>
      <c r="K336">
        <f t="shared" si="54"/>
        <v>1840</v>
      </c>
      <c r="L336">
        <f t="shared" si="52"/>
        <v>0</v>
      </c>
      <c r="M336">
        <f t="shared" si="55"/>
        <v>0</v>
      </c>
      <c r="N336">
        <f t="shared" si="56"/>
        <v>0</v>
      </c>
      <c r="O336">
        <f t="shared" si="57"/>
        <v>0</v>
      </c>
    </row>
    <row r="337" spans="1:18" hidden="1" x14ac:dyDescent="0.3">
      <c r="A337">
        <v>8649</v>
      </c>
      <c r="B337" t="s">
        <v>723</v>
      </c>
      <c r="C337" t="s">
        <v>711</v>
      </c>
      <c r="D337" t="s">
        <v>724</v>
      </c>
      <c r="E337" t="s">
        <v>13</v>
      </c>
      <c r="F337" t="s">
        <v>44</v>
      </c>
      <c r="G337">
        <v>190</v>
      </c>
      <c r="H337">
        <v>2</v>
      </c>
      <c r="I337" s="16">
        <f t="shared" si="53"/>
        <v>380</v>
      </c>
      <c r="J337">
        <v>2</v>
      </c>
      <c r="K337">
        <f t="shared" si="54"/>
        <v>380</v>
      </c>
      <c r="L337">
        <f t="shared" si="52"/>
        <v>0</v>
      </c>
      <c r="M337">
        <f t="shared" si="55"/>
        <v>0</v>
      </c>
      <c r="N337">
        <f t="shared" si="56"/>
        <v>0</v>
      </c>
      <c r="O337">
        <f t="shared" si="57"/>
        <v>0</v>
      </c>
    </row>
    <row r="338" spans="1:18" ht="18.3" x14ac:dyDescent="0.4">
      <c r="A338">
        <v>9338</v>
      </c>
      <c r="B338" t="s">
        <v>725</v>
      </c>
      <c r="C338" t="s">
        <v>726</v>
      </c>
      <c r="D338" t="s">
        <v>727</v>
      </c>
      <c r="E338" t="s">
        <v>13</v>
      </c>
      <c r="F338" t="s">
        <v>728</v>
      </c>
      <c r="G338">
        <v>330</v>
      </c>
      <c r="H338">
        <v>2</v>
      </c>
      <c r="I338" s="16">
        <f t="shared" si="53"/>
        <v>660</v>
      </c>
      <c r="J338">
        <v>0</v>
      </c>
      <c r="K338">
        <f t="shared" si="54"/>
        <v>0</v>
      </c>
      <c r="L338">
        <f t="shared" si="52"/>
        <v>2</v>
      </c>
      <c r="M338">
        <f t="shared" si="55"/>
        <v>660</v>
      </c>
      <c r="N338">
        <f t="shared" si="56"/>
        <v>165</v>
      </c>
      <c r="O338">
        <f t="shared" si="57"/>
        <v>495</v>
      </c>
      <c r="R338" s="21" t="str">
        <f t="shared" ref="R338:R341" si="60">_xlfn.TEXTJOIN("  by ",TRUE,B337,C337)</f>
        <v>Mannin Perumai  by K.S. Radhakrishnan</v>
      </c>
    </row>
    <row r="339" spans="1:18" ht="18.3" x14ac:dyDescent="0.4">
      <c r="A339">
        <v>5448</v>
      </c>
      <c r="B339" t="s">
        <v>729</v>
      </c>
      <c r="C339" t="s">
        <v>726</v>
      </c>
      <c r="D339" t="s">
        <v>730</v>
      </c>
      <c r="E339" t="s">
        <v>13</v>
      </c>
      <c r="F339" t="s">
        <v>728</v>
      </c>
      <c r="G339">
        <v>110</v>
      </c>
      <c r="H339">
        <v>2</v>
      </c>
      <c r="I339" s="16">
        <f t="shared" si="53"/>
        <v>220</v>
      </c>
      <c r="J339">
        <v>1</v>
      </c>
      <c r="K339">
        <f t="shared" si="54"/>
        <v>110</v>
      </c>
      <c r="L339">
        <f t="shared" si="52"/>
        <v>1</v>
      </c>
      <c r="M339">
        <f t="shared" si="55"/>
        <v>110</v>
      </c>
      <c r="N339">
        <f t="shared" si="56"/>
        <v>27.5</v>
      </c>
      <c r="O339">
        <f t="shared" si="57"/>
        <v>82.5</v>
      </c>
      <c r="R339" s="21" t="str">
        <f t="shared" si="60"/>
        <v>Si(ri)thralaya  by Kalachakram Narasimha</v>
      </c>
    </row>
    <row r="340" spans="1:18" ht="18.3" x14ac:dyDescent="0.4">
      <c r="A340">
        <v>12852</v>
      </c>
      <c r="B340" t="s">
        <v>731</v>
      </c>
      <c r="C340" t="s">
        <v>726</v>
      </c>
      <c r="D340" t="s">
        <v>732</v>
      </c>
      <c r="E340" t="s">
        <v>13</v>
      </c>
      <c r="F340" t="s">
        <v>44</v>
      </c>
      <c r="G340">
        <v>90</v>
      </c>
      <c r="H340">
        <v>2</v>
      </c>
      <c r="I340" s="16">
        <f t="shared" si="53"/>
        <v>180</v>
      </c>
      <c r="J340">
        <v>0</v>
      </c>
      <c r="K340">
        <f t="shared" si="54"/>
        <v>0</v>
      </c>
      <c r="L340">
        <f t="shared" si="52"/>
        <v>2</v>
      </c>
      <c r="M340">
        <f t="shared" si="55"/>
        <v>180</v>
      </c>
      <c r="N340">
        <f t="shared" si="56"/>
        <v>45</v>
      </c>
      <c r="O340">
        <f t="shared" si="57"/>
        <v>135</v>
      </c>
      <c r="R340" s="21" t="str">
        <f t="shared" si="60"/>
        <v>Athe Athe... Saba Pathe...  by Kalachakram Narasimha</v>
      </c>
    </row>
    <row r="341" spans="1:18" ht="18.3" x14ac:dyDescent="0.4">
      <c r="A341">
        <v>10521</v>
      </c>
      <c r="B341" t="s">
        <v>733</v>
      </c>
      <c r="C341" t="s">
        <v>726</v>
      </c>
      <c r="D341" t="s">
        <v>734</v>
      </c>
      <c r="E341" t="s">
        <v>13</v>
      </c>
      <c r="F341" t="s">
        <v>44</v>
      </c>
      <c r="G341">
        <v>50</v>
      </c>
      <c r="H341">
        <v>2</v>
      </c>
      <c r="I341" s="16">
        <f t="shared" si="53"/>
        <v>100</v>
      </c>
      <c r="J341">
        <v>0</v>
      </c>
      <c r="K341">
        <f t="shared" si="54"/>
        <v>0</v>
      </c>
      <c r="L341">
        <f t="shared" si="52"/>
        <v>2</v>
      </c>
      <c r="M341">
        <f t="shared" si="55"/>
        <v>100</v>
      </c>
      <c r="N341">
        <f t="shared" si="56"/>
        <v>25</v>
      </c>
      <c r="O341">
        <f t="shared" si="57"/>
        <v>75</v>
      </c>
      <c r="R341" s="21" t="str">
        <f t="shared" si="60"/>
        <v>Thisai Maariya Paravaigal!  by Kalachakram Narasimha</v>
      </c>
    </row>
    <row r="342" spans="1:18" hidden="1" x14ac:dyDescent="0.3">
      <c r="A342">
        <v>12279</v>
      </c>
      <c r="B342" t="s">
        <v>735</v>
      </c>
      <c r="C342" t="s">
        <v>726</v>
      </c>
      <c r="D342" t="s">
        <v>736</v>
      </c>
      <c r="E342" t="s">
        <v>13</v>
      </c>
      <c r="F342" t="s">
        <v>14</v>
      </c>
      <c r="G342">
        <v>100</v>
      </c>
      <c r="H342">
        <v>2</v>
      </c>
      <c r="I342" s="16">
        <f t="shared" si="53"/>
        <v>200</v>
      </c>
      <c r="J342">
        <v>2</v>
      </c>
      <c r="K342">
        <f t="shared" si="54"/>
        <v>200</v>
      </c>
      <c r="L342">
        <f t="shared" si="52"/>
        <v>0</v>
      </c>
      <c r="M342">
        <f t="shared" si="55"/>
        <v>0</v>
      </c>
      <c r="N342">
        <f t="shared" si="56"/>
        <v>0</v>
      </c>
      <c r="O342">
        <f t="shared" si="57"/>
        <v>0</v>
      </c>
    </row>
    <row r="343" spans="1:18" ht="18.3" x14ac:dyDescent="0.4">
      <c r="A343">
        <v>12924</v>
      </c>
      <c r="B343" t="s">
        <v>737</v>
      </c>
      <c r="C343" t="s">
        <v>726</v>
      </c>
      <c r="D343" t="s">
        <v>738</v>
      </c>
      <c r="E343" t="s">
        <v>13</v>
      </c>
      <c r="F343" t="s">
        <v>14</v>
      </c>
      <c r="G343">
        <v>110</v>
      </c>
      <c r="H343">
        <v>2</v>
      </c>
      <c r="I343" s="16">
        <f t="shared" si="53"/>
        <v>220</v>
      </c>
      <c r="J343">
        <v>1</v>
      </c>
      <c r="K343">
        <f t="shared" si="54"/>
        <v>110</v>
      </c>
      <c r="L343">
        <f t="shared" si="52"/>
        <v>1</v>
      </c>
      <c r="M343">
        <f t="shared" si="55"/>
        <v>110</v>
      </c>
      <c r="N343">
        <f t="shared" si="56"/>
        <v>27.5</v>
      </c>
      <c r="O343">
        <f t="shared" si="57"/>
        <v>82.5</v>
      </c>
      <c r="R343" s="21" t="str">
        <f t="shared" ref="R343:R349" si="61">_xlfn.TEXTJOIN("  by ",TRUE,B342,C342)</f>
        <v>Selvathul Ellam Thalai  by Kalachakram Narasimha</v>
      </c>
    </row>
    <row r="344" spans="1:18" ht="18.3" x14ac:dyDescent="0.4">
      <c r="A344">
        <v>5274</v>
      </c>
      <c r="B344" t="s">
        <v>739</v>
      </c>
      <c r="C344" t="s">
        <v>726</v>
      </c>
      <c r="D344" t="s">
        <v>740</v>
      </c>
      <c r="E344" t="s">
        <v>13</v>
      </c>
      <c r="F344" t="s">
        <v>116</v>
      </c>
      <c r="G344">
        <v>380</v>
      </c>
      <c r="H344">
        <v>2</v>
      </c>
      <c r="I344" s="16">
        <f t="shared" si="53"/>
        <v>760</v>
      </c>
      <c r="J344">
        <v>1</v>
      </c>
      <c r="K344">
        <f t="shared" si="54"/>
        <v>380</v>
      </c>
      <c r="L344">
        <f t="shared" si="52"/>
        <v>1</v>
      </c>
      <c r="M344">
        <f t="shared" si="55"/>
        <v>380</v>
      </c>
      <c r="N344">
        <f t="shared" si="56"/>
        <v>95</v>
      </c>
      <c r="O344">
        <f t="shared" si="57"/>
        <v>285</v>
      </c>
      <c r="R344" s="21" t="str">
        <f t="shared" si="61"/>
        <v>Pogathey... Pogathey... En Kanava...!  by Kalachakram Narasimha</v>
      </c>
    </row>
    <row r="345" spans="1:18" ht="18.3" x14ac:dyDescent="0.4">
      <c r="A345">
        <v>12176</v>
      </c>
      <c r="B345" t="s">
        <v>741</v>
      </c>
      <c r="C345" t="s">
        <v>726</v>
      </c>
      <c r="D345" t="s">
        <v>742</v>
      </c>
      <c r="E345" t="s">
        <v>447</v>
      </c>
      <c r="F345" t="s">
        <v>492</v>
      </c>
      <c r="G345">
        <v>310</v>
      </c>
      <c r="H345">
        <v>2</v>
      </c>
      <c r="I345" s="16">
        <f t="shared" si="53"/>
        <v>620</v>
      </c>
      <c r="J345">
        <v>1</v>
      </c>
      <c r="K345">
        <f t="shared" si="54"/>
        <v>310</v>
      </c>
      <c r="L345">
        <f t="shared" si="52"/>
        <v>1</v>
      </c>
      <c r="M345">
        <f t="shared" si="55"/>
        <v>310</v>
      </c>
      <c r="N345">
        <f t="shared" si="56"/>
        <v>77.5</v>
      </c>
      <c r="O345">
        <f t="shared" si="57"/>
        <v>232.5</v>
      </c>
      <c r="R345" s="21" t="str">
        <f t="shared" si="61"/>
        <v>Kuberavana Kaaval  by Kalachakram Narasimha</v>
      </c>
    </row>
    <row r="346" spans="1:18" ht="18.3" x14ac:dyDescent="0.4">
      <c r="A346">
        <v>5531</v>
      </c>
      <c r="B346" t="s">
        <v>743</v>
      </c>
      <c r="C346" t="s">
        <v>726</v>
      </c>
      <c r="D346" t="s">
        <v>744</v>
      </c>
      <c r="E346" t="s">
        <v>13</v>
      </c>
      <c r="F346" t="s">
        <v>116</v>
      </c>
      <c r="G346">
        <v>380</v>
      </c>
      <c r="H346">
        <v>2</v>
      </c>
      <c r="I346" s="16">
        <f t="shared" si="53"/>
        <v>760</v>
      </c>
      <c r="J346">
        <v>0</v>
      </c>
      <c r="K346">
        <f t="shared" si="54"/>
        <v>0</v>
      </c>
      <c r="L346">
        <f t="shared" si="52"/>
        <v>2</v>
      </c>
      <c r="M346">
        <f t="shared" si="55"/>
        <v>760</v>
      </c>
      <c r="N346">
        <f t="shared" si="56"/>
        <v>190</v>
      </c>
      <c r="O346">
        <f t="shared" si="57"/>
        <v>570</v>
      </c>
      <c r="R346" s="21" t="str">
        <f t="shared" si="61"/>
        <v>The Conch Island  by Kalachakram Narasimha</v>
      </c>
    </row>
    <row r="347" spans="1:18" ht="18.3" x14ac:dyDescent="0.4">
      <c r="A347">
        <v>10192</v>
      </c>
      <c r="B347" t="s">
        <v>745</v>
      </c>
      <c r="C347" t="s">
        <v>726</v>
      </c>
      <c r="D347" t="s">
        <v>746</v>
      </c>
      <c r="E347" t="s">
        <v>13</v>
      </c>
      <c r="F347" t="s">
        <v>492</v>
      </c>
      <c r="G347">
        <v>440</v>
      </c>
      <c r="H347">
        <v>1</v>
      </c>
      <c r="I347" s="16">
        <f t="shared" si="53"/>
        <v>440</v>
      </c>
      <c r="J347">
        <v>0</v>
      </c>
      <c r="K347">
        <f t="shared" si="54"/>
        <v>0</v>
      </c>
      <c r="L347">
        <f t="shared" si="52"/>
        <v>1</v>
      </c>
      <c r="M347">
        <f t="shared" si="55"/>
        <v>440</v>
      </c>
      <c r="N347">
        <f t="shared" si="56"/>
        <v>110</v>
      </c>
      <c r="O347">
        <f t="shared" si="57"/>
        <v>330</v>
      </c>
      <c r="R347" s="21" t="str">
        <f t="shared" si="61"/>
        <v>Rangarattinam  by Kalachakram Narasimha</v>
      </c>
    </row>
    <row r="348" spans="1:18" ht="18.3" x14ac:dyDescent="0.4">
      <c r="A348">
        <v>10712</v>
      </c>
      <c r="B348" t="s">
        <v>747</v>
      </c>
      <c r="C348" t="s">
        <v>726</v>
      </c>
      <c r="D348" t="s">
        <v>748</v>
      </c>
      <c r="E348" t="s">
        <v>13</v>
      </c>
      <c r="F348" t="s">
        <v>492</v>
      </c>
      <c r="G348">
        <v>690</v>
      </c>
      <c r="H348">
        <v>1</v>
      </c>
      <c r="I348" s="16">
        <f t="shared" si="53"/>
        <v>690</v>
      </c>
      <c r="J348">
        <v>0</v>
      </c>
      <c r="K348">
        <f t="shared" si="54"/>
        <v>0</v>
      </c>
      <c r="L348">
        <f t="shared" si="52"/>
        <v>1</v>
      </c>
      <c r="M348">
        <f t="shared" si="55"/>
        <v>690</v>
      </c>
      <c r="N348">
        <f t="shared" si="56"/>
        <v>172.5</v>
      </c>
      <c r="O348">
        <f t="shared" si="57"/>
        <v>517.5</v>
      </c>
      <c r="R348" s="21" t="str">
        <f t="shared" si="61"/>
        <v>Koodalazhahi - Part 1  by Kalachakram Narasimha</v>
      </c>
    </row>
    <row r="349" spans="1:18" ht="18.3" x14ac:dyDescent="0.4">
      <c r="A349">
        <v>5325</v>
      </c>
      <c r="B349" s="5" t="s">
        <v>749</v>
      </c>
      <c r="C349" t="s">
        <v>726</v>
      </c>
      <c r="D349" t="s">
        <v>750</v>
      </c>
      <c r="E349" t="s">
        <v>13</v>
      </c>
      <c r="F349" t="s">
        <v>728</v>
      </c>
      <c r="G349">
        <v>180</v>
      </c>
      <c r="H349">
        <v>2</v>
      </c>
      <c r="I349" s="16">
        <f t="shared" si="53"/>
        <v>360</v>
      </c>
      <c r="J349">
        <v>1</v>
      </c>
      <c r="K349">
        <f t="shared" si="54"/>
        <v>180</v>
      </c>
      <c r="L349">
        <f t="shared" si="52"/>
        <v>1</v>
      </c>
      <c r="M349">
        <f t="shared" si="55"/>
        <v>180</v>
      </c>
      <c r="N349">
        <f t="shared" si="56"/>
        <v>45</v>
      </c>
      <c r="O349">
        <f t="shared" si="57"/>
        <v>135</v>
      </c>
      <c r="R349" s="21" t="str">
        <f t="shared" si="61"/>
        <v>Koodalazhagi - Part 2  by Kalachakram Narasimha</v>
      </c>
    </row>
    <row r="350" spans="1:18" hidden="1" x14ac:dyDescent="0.3">
      <c r="A350">
        <v>5447</v>
      </c>
      <c r="B350" s="5" t="s">
        <v>751</v>
      </c>
      <c r="C350" t="s">
        <v>726</v>
      </c>
      <c r="D350" t="s">
        <v>752</v>
      </c>
      <c r="E350" t="s">
        <v>13</v>
      </c>
      <c r="F350" t="s">
        <v>728</v>
      </c>
      <c r="G350">
        <v>80</v>
      </c>
      <c r="H350">
        <v>2</v>
      </c>
      <c r="I350" s="16">
        <f t="shared" si="53"/>
        <v>160</v>
      </c>
      <c r="J350">
        <v>2</v>
      </c>
      <c r="K350">
        <f t="shared" si="54"/>
        <v>160</v>
      </c>
      <c r="L350">
        <f t="shared" si="52"/>
        <v>0</v>
      </c>
      <c r="M350">
        <f t="shared" si="55"/>
        <v>0</v>
      </c>
      <c r="N350">
        <f t="shared" si="56"/>
        <v>0</v>
      </c>
      <c r="O350">
        <f t="shared" si="57"/>
        <v>0</v>
      </c>
    </row>
    <row r="351" spans="1:18" hidden="1" x14ac:dyDescent="0.3">
      <c r="A351">
        <v>9090</v>
      </c>
      <c r="B351" t="s">
        <v>753</v>
      </c>
      <c r="C351" t="s">
        <v>754</v>
      </c>
      <c r="D351" t="s">
        <v>755</v>
      </c>
      <c r="E351" t="s">
        <v>13</v>
      </c>
      <c r="F351" t="s">
        <v>14</v>
      </c>
      <c r="G351">
        <v>110</v>
      </c>
      <c r="H351">
        <v>2</v>
      </c>
      <c r="I351" s="16">
        <f t="shared" si="53"/>
        <v>220</v>
      </c>
      <c r="J351">
        <v>2</v>
      </c>
      <c r="K351">
        <f t="shared" si="54"/>
        <v>220</v>
      </c>
      <c r="L351">
        <f t="shared" si="52"/>
        <v>0</v>
      </c>
      <c r="M351">
        <f t="shared" si="55"/>
        <v>0</v>
      </c>
      <c r="N351">
        <f t="shared" si="56"/>
        <v>0</v>
      </c>
      <c r="O351">
        <f t="shared" si="57"/>
        <v>0</v>
      </c>
    </row>
    <row r="352" spans="1:18" ht="18.3" x14ac:dyDescent="0.4">
      <c r="A352">
        <v>9857</v>
      </c>
      <c r="B352" t="s">
        <v>756</v>
      </c>
      <c r="C352" t="s">
        <v>754</v>
      </c>
      <c r="D352" t="s">
        <v>757</v>
      </c>
      <c r="E352" t="s">
        <v>13</v>
      </c>
      <c r="F352" t="s">
        <v>144</v>
      </c>
      <c r="G352">
        <v>180</v>
      </c>
      <c r="H352">
        <v>2</v>
      </c>
      <c r="I352" s="16">
        <f t="shared" si="53"/>
        <v>360</v>
      </c>
      <c r="J352">
        <v>0</v>
      </c>
      <c r="K352">
        <f t="shared" si="54"/>
        <v>0</v>
      </c>
      <c r="L352">
        <f t="shared" si="52"/>
        <v>2</v>
      </c>
      <c r="M352">
        <f t="shared" si="55"/>
        <v>360</v>
      </c>
      <c r="N352">
        <f t="shared" si="56"/>
        <v>90</v>
      </c>
      <c r="O352">
        <f t="shared" si="57"/>
        <v>270</v>
      </c>
      <c r="R352" s="21" t="str">
        <f>_xlfn.TEXTJOIN("  by ",TRUE,B351,C351)</f>
        <v>Aanandha Nilaiyam  by Kalaimamani Kovai Anuradha</v>
      </c>
    </row>
    <row r="353" spans="1:18" hidden="1" x14ac:dyDescent="0.3">
      <c r="A353">
        <v>6117</v>
      </c>
      <c r="B353" t="s">
        <v>758</v>
      </c>
      <c r="C353" t="s">
        <v>754</v>
      </c>
      <c r="D353" t="s">
        <v>759</v>
      </c>
      <c r="E353" t="s">
        <v>13</v>
      </c>
      <c r="F353" t="s">
        <v>144</v>
      </c>
      <c r="G353">
        <v>270</v>
      </c>
      <c r="H353">
        <v>2</v>
      </c>
      <c r="I353" s="16">
        <f t="shared" si="53"/>
        <v>540</v>
      </c>
      <c r="J353">
        <v>2</v>
      </c>
      <c r="K353">
        <f t="shared" si="54"/>
        <v>540</v>
      </c>
      <c r="L353">
        <f t="shared" si="52"/>
        <v>0</v>
      </c>
      <c r="M353">
        <f t="shared" si="55"/>
        <v>0</v>
      </c>
      <c r="N353">
        <f t="shared" si="56"/>
        <v>0</v>
      </c>
      <c r="O353">
        <f t="shared" si="57"/>
        <v>0</v>
      </c>
    </row>
    <row r="354" spans="1:18" hidden="1" x14ac:dyDescent="0.3">
      <c r="A354">
        <v>9139</v>
      </c>
      <c r="B354" t="s">
        <v>760</v>
      </c>
      <c r="C354" t="s">
        <v>754</v>
      </c>
      <c r="D354" t="s">
        <v>761</v>
      </c>
      <c r="E354" t="s">
        <v>13</v>
      </c>
      <c r="F354" t="s">
        <v>144</v>
      </c>
      <c r="G354">
        <v>150</v>
      </c>
      <c r="H354">
        <v>2</v>
      </c>
      <c r="I354" s="16">
        <f t="shared" si="53"/>
        <v>300</v>
      </c>
      <c r="J354">
        <v>2</v>
      </c>
      <c r="K354">
        <f t="shared" si="54"/>
        <v>300</v>
      </c>
      <c r="L354">
        <f t="shared" si="52"/>
        <v>0</v>
      </c>
      <c r="M354">
        <f t="shared" si="55"/>
        <v>0</v>
      </c>
      <c r="N354">
        <f t="shared" si="56"/>
        <v>0</v>
      </c>
      <c r="O354">
        <f t="shared" si="57"/>
        <v>0</v>
      </c>
    </row>
    <row r="355" spans="1:18" hidden="1" x14ac:dyDescent="0.3">
      <c r="A355">
        <v>6119</v>
      </c>
      <c r="B355" t="s">
        <v>762</v>
      </c>
      <c r="C355" t="s">
        <v>754</v>
      </c>
      <c r="D355" t="s">
        <v>763</v>
      </c>
      <c r="E355" t="s">
        <v>13</v>
      </c>
      <c r="F355" t="s">
        <v>144</v>
      </c>
      <c r="G355">
        <v>150</v>
      </c>
      <c r="H355">
        <v>2</v>
      </c>
      <c r="I355" s="16">
        <f t="shared" si="53"/>
        <v>300</v>
      </c>
      <c r="J355">
        <v>2</v>
      </c>
      <c r="K355">
        <f t="shared" si="54"/>
        <v>300</v>
      </c>
      <c r="L355">
        <f t="shared" si="52"/>
        <v>0</v>
      </c>
      <c r="M355">
        <f t="shared" si="55"/>
        <v>0</v>
      </c>
      <c r="N355">
        <f t="shared" si="56"/>
        <v>0</v>
      </c>
      <c r="O355">
        <f t="shared" si="57"/>
        <v>0</v>
      </c>
    </row>
    <row r="356" spans="1:18" hidden="1" x14ac:dyDescent="0.3">
      <c r="A356">
        <v>9140</v>
      </c>
      <c r="B356" t="s">
        <v>764</v>
      </c>
      <c r="C356" t="s">
        <v>754</v>
      </c>
      <c r="D356" t="s">
        <v>765</v>
      </c>
      <c r="E356" t="s">
        <v>13</v>
      </c>
      <c r="F356" t="s">
        <v>14</v>
      </c>
      <c r="G356">
        <v>160</v>
      </c>
      <c r="H356">
        <v>2</v>
      </c>
      <c r="I356" s="16">
        <f t="shared" si="53"/>
        <v>320</v>
      </c>
      <c r="J356">
        <v>2</v>
      </c>
      <c r="K356">
        <f t="shared" si="54"/>
        <v>320</v>
      </c>
      <c r="L356">
        <f t="shared" ref="L356:L419" si="62">H356-J356</f>
        <v>0</v>
      </c>
      <c r="M356">
        <f t="shared" si="55"/>
        <v>0</v>
      </c>
      <c r="N356">
        <f t="shared" si="56"/>
        <v>0</v>
      </c>
      <c r="O356">
        <f t="shared" si="57"/>
        <v>0</v>
      </c>
    </row>
    <row r="357" spans="1:18" hidden="1" x14ac:dyDescent="0.3">
      <c r="A357">
        <v>9092</v>
      </c>
      <c r="B357" t="s">
        <v>766</v>
      </c>
      <c r="C357" t="s">
        <v>754</v>
      </c>
      <c r="D357" t="s">
        <v>767</v>
      </c>
      <c r="E357" t="s">
        <v>13</v>
      </c>
      <c r="F357" t="s">
        <v>14</v>
      </c>
      <c r="G357">
        <v>70</v>
      </c>
      <c r="H357">
        <v>2</v>
      </c>
      <c r="I357" s="16">
        <f t="shared" si="53"/>
        <v>140</v>
      </c>
      <c r="J357">
        <v>2</v>
      </c>
      <c r="K357">
        <f t="shared" si="54"/>
        <v>140</v>
      </c>
      <c r="L357">
        <f t="shared" si="62"/>
        <v>0</v>
      </c>
      <c r="M357">
        <f t="shared" si="55"/>
        <v>0</v>
      </c>
      <c r="N357">
        <f t="shared" si="56"/>
        <v>0</v>
      </c>
      <c r="O357">
        <f t="shared" si="57"/>
        <v>0</v>
      </c>
    </row>
    <row r="358" spans="1:18" hidden="1" x14ac:dyDescent="0.3">
      <c r="A358">
        <v>9093</v>
      </c>
      <c r="B358" t="s">
        <v>768</v>
      </c>
      <c r="C358" t="s">
        <v>754</v>
      </c>
      <c r="D358" t="s">
        <v>769</v>
      </c>
      <c r="E358" t="s">
        <v>13</v>
      </c>
      <c r="F358" t="s">
        <v>44</v>
      </c>
      <c r="G358" s="6">
        <v>60</v>
      </c>
      <c r="H358">
        <v>2</v>
      </c>
      <c r="I358" s="16">
        <f t="shared" si="53"/>
        <v>120</v>
      </c>
      <c r="J358">
        <v>2</v>
      </c>
      <c r="K358">
        <f t="shared" si="54"/>
        <v>120</v>
      </c>
      <c r="L358">
        <f t="shared" si="62"/>
        <v>0</v>
      </c>
      <c r="M358">
        <f t="shared" si="55"/>
        <v>0</v>
      </c>
      <c r="N358">
        <f t="shared" si="56"/>
        <v>0</v>
      </c>
      <c r="O358">
        <f t="shared" si="57"/>
        <v>0</v>
      </c>
    </row>
    <row r="359" spans="1:18" ht="18.3" x14ac:dyDescent="0.4">
      <c r="A359">
        <v>9095</v>
      </c>
      <c r="B359" t="s">
        <v>770</v>
      </c>
      <c r="C359" t="s">
        <v>754</v>
      </c>
      <c r="D359" t="s">
        <v>771</v>
      </c>
      <c r="E359" t="s">
        <v>13</v>
      </c>
      <c r="F359" t="s">
        <v>14</v>
      </c>
      <c r="G359">
        <v>200</v>
      </c>
      <c r="H359">
        <v>2</v>
      </c>
      <c r="I359" s="16">
        <f t="shared" si="53"/>
        <v>400</v>
      </c>
      <c r="J359">
        <v>1</v>
      </c>
      <c r="K359">
        <f t="shared" si="54"/>
        <v>200</v>
      </c>
      <c r="L359">
        <f t="shared" si="62"/>
        <v>1</v>
      </c>
      <c r="M359">
        <f t="shared" si="55"/>
        <v>200</v>
      </c>
      <c r="N359">
        <f t="shared" si="56"/>
        <v>50</v>
      </c>
      <c r="O359">
        <f t="shared" si="57"/>
        <v>150</v>
      </c>
      <c r="R359" s="21" t="str">
        <f>_xlfn.TEXTJOIN("  by ",TRUE,B358,C358)</f>
        <v>Puthiya Porattam  by Kalaimamani Kovai Anuradha</v>
      </c>
    </row>
    <row r="360" spans="1:18" hidden="1" x14ac:dyDescent="0.3">
      <c r="A360">
        <v>9091</v>
      </c>
      <c r="B360" t="s">
        <v>772</v>
      </c>
      <c r="C360" t="s">
        <v>754</v>
      </c>
      <c r="D360" t="s">
        <v>773</v>
      </c>
      <c r="E360" t="s">
        <v>13</v>
      </c>
      <c r="F360" t="s">
        <v>14</v>
      </c>
      <c r="G360">
        <v>80</v>
      </c>
      <c r="H360">
        <v>2</v>
      </c>
      <c r="I360" s="16">
        <f t="shared" si="53"/>
        <v>160</v>
      </c>
      <c r="J360">
        <v>2</v>
      </c>
      <c r="K360">
        <f t="shared" si="54"/>
        <v>160</v>
      </c>
      <c r="L360">
        <f t="shared" si="62"/>
        <v>0</v>
      </c>
      <c r="M360">
        <f t="shared" si="55"/>
        <v>0</v>
      </c>
      <c r="N360">
        <f t="shared" si="56"/>
        <v>0</v>
      </c>
      <c r="O360">
        <f t="shared" si="57"/>
        <v>0</v>
      </c>
    </row>
    <row r="361" spans="1:18" hidden="1" x14ac:dyDescent="0.3">
      <c r="A361">
        <v>1684</v>
      </c>
      <c r="B361" t="s">
        <v>774</v>
      </c>
      <c r="C361" t="s">
        <v>775</v>
      </c>
      <c r="D361" t="s">
        <v>776</v>
      </c>
      <c r="E361" t="s">
        <v>13</v>
      </c>
      <c r="F361" t="s">
        <v>136</v>
      </c>
      <c r="G361">
        <v>270</v>
      </c>
      <c r="H361">
        <v>2</v>
      </c>
      <c r="I361" s="16">
        <f t="shared" si="53"/>
        <v>540</v>
      </c>
      <c r="J361">
        <v>2</v>
      </c>
      <c r="K361">
        <f t="shared" si="54"/>
        <v>540</v>
      </c>
      <c r="L361">
        <f t="shared" si="62"/>
        <v>0</v>
      </c>
      <c r="M361">
        <f t="shared" si="55"/>
        <v>0</v>
      </c>
      <c r="N361">
        <f t="shared" si="56"/>
        <v>0</v>
      </c>
      <c r="O361">
        <f t="shared" si="57"/>
        <v>0</v>
      </c>
    </row>
    <row r="362" spans="1:18" hidden="1" x14ac:dyDescent="0.3">
      <c r="A362">
        <v>1685</v>
      </c>
      <c r="B362" t="s">
        <v>777</v>
      </c>
      <c r="C362" t="s">
        <v>775</v>
      </c>
      <c r="D362" t="s">
        <v>778</v>
      </c>
      <c r="E362" t="s">
        <v>13</v>
      </c>
      <c r="F362" t="s">
        <v>136</v>
      </c>
      <c r="G362">
        <v>310</v>
      </c>
      <c r="H362">
        <v>2</v>
      </c>
      <c r="I362" s="16">
        <f t="shared" si="53"/>
        <v>620</v>
      </c>
      <c r="J362">
        <v>2</v>
      </c>
      <c r="K362">
        <f t="shared" si="54"/>
        <v>620</v>
      </c>
      <c r="L362">
        <f t="shared" si="62"/>
        <v>0</v>
      </c>
      <c r="M362">
        <f t="shared" si="55"/>
        <v>0</v>
      </c>
      <c r="N362">
        <f t="shared" si="56"/>
        <v>0</v>
      </c>
      <c r="O362">
        <f t="shared" si="57"/>
        <v>0</v>
      </c>
    </row>
    <row r="363" spans="1:18" hidden="1" x14ac:dyDescent="0.3">
      <c r="A363">
        <v>1687</v>
      </c>
      <c r="B363" t="s">
        <v>779</v>
      </c>
      <c r="C363" t="s">
        <v>775</v>
      </c>
      <c r="D363" t="s">
        <v>780</v>
      </c>
      <c r="E363" t="s">
        <v>13</v>
      </c>
      <c r="F363" t="s">
        <v>136</v>
      </c>
      <c r="G363">
        <v>250</v>
      </c>
      <c r="H363">
        <v>2</v>
      </c>
      <c r="I363" s="16">
        <f t="shared" si="53"/>
        <v>500</v>
      </c>
      <c r="J363">
        <v>2</v>
      </c>
      <c r="K363">
        <f t="shared" si="54"/>
        <v>500</v>
      </c>
      <c r="L363">
        <f t="shared" si="62"/>
        <v>0</v>
      </c>
      <c r="M363">
        <f t="shared" si="55"/>
        <v>0</v>
      </c>
      <c r="N363">
        <f t="shared" si="56"/>
        <v>0</v>
      </c>
      <c r="O363">
        <f t="shared" si="57"/>
        <v>0</v>
      </c>
    </row>
    <row r="364" spans="1:18" hidden="1" x14ac:dyDescent="0.3">
      <c r="A364">
        <v>1686</v>
      </c>
      <c r="B364" t="s">
        <v>781</v>
      </c>
      <c r="C364" t="s">
        <v>775</v>
      </c>
      <c r="D364" t="s">
        <v>782</v>
      </c>
      <c r="E364" t="s">
        <v>13</v>
      </c>
      <c r="F364" t="s">
        <v>136</v>
      </c>
      <c r="G364">
        <v>350</v>
      </c>
      <c r="H364">
        <v>2</v>
      </c>
      <c r="I364" s="16">
        <f t="shared" si="53"/>
        <v>700</v>
      </c>
      <c r="J364">
        <v>2</v>
      </c>
      <c r="K364">
        <f t="shared" si="54"/>
        <v>700</v>
      </c>
      <c r="L364">
        <f t="shared" si="62"/>
        <v>0</v>
      </c>
      <c r="M364">
        <f t="shared" si="55"/>
        <v>0</v>
      </c>
      <c r="N364">
        <f t="shared" si="56"/>
        <v>0</v>
      </c>
      <c r="O364">
        <f t="shared" si="57"/>
        <v>0</v>
      </c>
    </row>
    <row r="365" spans="1:18" ht="18.3" x14ac:dyDescent="0.4">
      <c r="A365">
        <v>1688</v>
      </c>
      <c r="B365" t="s">
        <v>783</v>
      </c>
      <c r="C365" t="s">
        <v>775</v>
      </c>
      <c r="D365" t="s">
        <v>784</v>
      </c>
      <c r="E365" t="s">
        <v>13</v>
      </c>
      <c r="F365" t="s">
        <v>136</v>
      </c>
      <c r="G365">
        <v>320</v>
      </c>
      <c r="H365">
        <v>2</v>
      </c>
      <c r="I365" s="16">
        <f t="shared" si="53"/>
        <v>640</v>
      </c>
      <c r="J365">
        <v>0</v>
      </c>
      <c r="K365">
        <f t="shared" si="54"/>
        <v>0</v>
      </c>
      <c r="L365">
        <f t="shared" si="62"/>
        <v>2</v>
      </c>
      <c r="M365">
        <f t="shared" si="55"/>
        <v>640</v>
      </c>
      <c r="N365">
        <f t="shared" si="56"/>
        <v>160</v>
      </c>
      <c r="O365">
        <f t="shared" si="57"/>
        <v>480</v>
      </c>
      <c r="R365" s="21" t="str">
        <f>_xlfn.TEXTJOIN("  by ",TRUE,B364,C364)</f>
        <v>Kamba Ramayanam - Bala Kandam  by Kambar</v>
      </c>
    </row>
    <row r="366" spans="1:18" hidden="1" x14ac:dyDescent="0.3">
      <c r="A366">
        <v>1689</v>
      </c>
      <c r="B366" t="s">
        <v>785</v>
      </c>
      <c r="C366" t="s">
        <v>775</v>
      </c>
      <c r="D366" t="s">
        <v>786</v>
      </c>
      <c r="E366" t="s">
        <v>13</v>
      </c>
      <c r="F366" t="s">
        <v>136</v>
      </c>
      <c r="G366">
        <v>1160</v>
      </c>
      <c r="H366">
        <v>2</v>
      </c>
      <c r="I366" s="16">
        <f t="shared" si="53"/>
        <v>2320</v>
      </c>
      <c r="J366">
        <v>2</v>
      </c>
      <c r="K366">
        <f t="shared" si="54"/>
        <v>2320</v>
      </c>
      <c r="L366">
        <f t="shared" si="62"/>
        <v>0</v>
      </c>
      <c r="M366">
        <f t="shared" si="55"/>
        <v>0</v>
      </c>
      <c r="N366">
        <f t="shared" si="56"/>
        <v>0</v>
      </c>
      <c r="O366">
        <f t="shared" si="57"/>
        <v>0</v>
      </c>
    </row>
    <row r="367" spans="1:18" hidden="1" x14ac:dyDescent="0.3">
      <c r="A367">
        <v>9459</v>
      </c>
      <c r="B367" t="s">
        <v>787</v>
      </c>
      <c r="C367" t="s">
        <v>788</v>
      </c>
      <c r="D367" t="s">
        <v>789</v>
      </c>
      <c r="E367" t="s">
        <v>13</v>
      </c>
      <c r="F367" t="s">
        <v>39</v>
      </c>
      <c r="G367">
        <v>140</v>
      </c>
      <c r="H367">
        <v>2</v>
      </c>
      <c r="I367" s="16">
        <f t="shared" si="53"/>
        <v>280</v>
      </c>
      <c r="J367">
        <v>2</v>
      </c>
      <c r="K367">
        <f t="shared" si="54"/>
        <v>280</v>
      </c>
      <c r="L367">
        <f t="shared" si="62"/>
        <v>0</v>
      </c>
      <c r="M367">
        <f t="shared" si="55"/>
        <v>0</v>
      </c>
      <c r="N367">
        <f t="shared" si="56"/>
        <v>0</v>
      </c>
      <c r="O367">
        <f t="shared" si="57"/>
        <v>0</v>
      </c>
    </row>
    <row r="368" spans="1:18" hidden="1" x14ac:dyDescent="0.3">
      <c r="A368">
        <v>1252</v>
      </c>
      <c r="B368" t="s">
        <v>790</v>
      </c>
      <c r="C368" t="s">
        <v>788</v>
      </c>
      <c r="D368" t="s">
        <v>791</v>
      </c>
      <c r="E368" t="s">
        <v>13</v>
      </c>
      <c r="F368" t="s">
        <v>14</v>
      </c>
      <c r="G368">
        <v>140</v>
      </c>
      <c r="H368">
        <v>2</v>
      </c>
      <c r="I368" s="16">
        <f t="shared" si="53"/>
        <v>280</v>
      </c>
      <c r="J368">
        <v>2</v>
      </c>
      <c r="K368">
        <f t="shared" si="54"/>
        <v>280</v>
      </c>
      <c r="L368">
        <f t="shared" si="62"/>
        <v>0</v>
      </c>
      <c r="M368">
        <f t="shared" si="55"/>
        <v>0</v>
      </c>
      <c r="N368">
        <f t="shared" si="56"/>
        <v>0</v>
      </c>
      <c r="O368">
        <f t="shared" si="57"/>
        <v>0</v>
      </c>
    </row>
    <row r="369" spans="1:18" hidden="1" x14ac:dyDescent="0.3">
      <c r="A369">
        <v>2280</v>
      </c>
      <c r="B369" t="s">
        <v>792</v>
      </c>
      <c r="C369" t="s">
        <v>788</v>
      </c>
      <c r="D369" t="s">
        <v>793</v>
      </c>
      <c r="E369" t="s">
        <v>13</v>
      </c>
      <c r="F369" t="s">
        <v>14</v>
      </c>
      <c r="G369">
        <v>150</v>
      </c>
      <c r="H369">
        <v>2</v>
      </c>
      <c r="I369" s="16">
        <f t="shared" si="53"/>
        <v>300</v>
      </c>
      <c r="J369">
        <v>2</v>
      </c>
      <c r="K369">
        <f t="shared" si="54"/>
        <v>300</v>
      </c>
      <c r="L369">
        <f t="shared" si="62"/>
        <v>0</v>
      </c>
      <c r="M369">
        <f t="shared" si="55"/>
        <v>0</v>
      </c>
      <c r="N369">
        <f t="shared" si="56"/>
        <v>0</v>
      </c>
      <c r="O369">
        <f t="shared" si="57"/>
        <v>0</v>
      </c>
    </row>
    <row r="370" spans="1:18" hidden="1" x14ac:dyDescent="0.3">
      <c r="A370">
        <v>1708</v>
      </c>
      <c r="B370" t="s">
        <v>794</v>
      </c>
      <c r="C370" t="s">
        <v>788</v>
      </c>
      <c r="D370" t="s">
        <v>795</v>
      </c>
      <c r="E370" t="s">
        <v>13</v>
      </c>
      <c r="F370" t="s">
        <v>39</v>
      </c>
      <c r="G370">
        <v>80</v>
      </c>
      <c r="H370">
        <v>2</v>
      </c>
      <c r="I370" s="16">
        <f t="shared" si="53"/>
        <v>160</v>
      </c>
      <c r="J370">
        <v>2</v>
      </c>
      <c r="K370">
        <f t="shared" si="54"/>
        <v>160</v>
      </c>
      <c r="L370">
        <f t="shared" si="62"/>
        <v>0</v>
      </c>
      <c r="M370">
        <f t="shared" si="55"/>
        <v>0</v>
      </c>
      <c r="N370">
        <f t="shared" si="56"/>
        <v>0</v>
      </c>
      <c r="O370">
        <f t="shared" si="57"/>
        <v>0</v>
      </c>
    </row>
    <row r="371" spans="1:18" hidden="1" x14ac:dyDescent="0.3">
      <c r="A371">
        <v>1630</v>
      </c>
      <c r="B371" t="s">
        <v>796</v>
      </c>
      <c r="C371" t="s">
        <v>788</v>
      </c>
      <c r="D371" t="s">
        <v>797</v>
      </c>
      <c r="E371" t="s">
        <v>13</v>
      </c>
      <c r="F371" t="s">
        <v>39</v>
      </c>
      <c r="G371">
        <v>70</v>
      </c>
      <c r="H371">
        <v>2</v>
      </c>
      <c r="I371" s="16">
        <f t="shared" si="53"/>
        <v>140</v>
      </c>
      <c r="J371">
        <v>2</v>
      </c>
      <c r="K371">
        <f t="shared" si="54"/>
        <v>140</v>
      </c>
      <c r="L371">
        <f t="shared" si="62"/>
        <v>0</v>
      </c>
      <c r="M371">
        <f t="shared" si="55"/>
        <v>0</v>
      </c>
      <c r="N371">
        <f t="shared" si="56"/>
        <v>0</v>
      </c>
      <c r="O371">
        <f t="shared" si="57"/>
        <v>0</v>
      </c>
    </row>
    <row r="372" spans="1:18" hidden="1" x14ac:dyDescent="0.3">
      <c r="A372">
        <v>1816</v>
      </c>
      <c r="B372" t="s">
        <v>798</v>
      </c>
      <c r="C372" t="s">
        <v>788</v>
      </c>
      <c r="D372" t="s">
        <v>799</v>
      </c>
      <c r="E372" t="s">
        <v>13</v>
      </c>
      <c r="F372" t="s">
        <v>39</v>
      </c>
      <c r="G372">
        <v>140</v>
      </c>
      <c r="H372">
        <v>2</v>
      </c>
      <c r="I372" s="16">
        <f t="shared" si="53"/>
        <v>280</v>
      </c>
      <c r="J372">
        <v>2</v>
      </c>
      <c r="K372">
        <f t="shared" si="54"/>
        <v>280</v>
      </c>
      <c r="L372">
        <f t="shared" si="62"/>
        <v>0</v>
      </c>
      <c r="M372">
        <f t="shared" si="55"/>
        <v>0</v>
      </c>
      <c r="N372">
        <f t="shared" si="56"/>
        <v>0</v>
      </c>
      <c r="O372">
        <f t="shared" si="57"/>
        <v>0</v>
      </c>
    </row>
    <row r="373" spans="1:18" hidden="1" x14ac:dyDescent="0.3">
      <c r="A373">
        <v>1915</v>
      </c>
      <c r="B373" t="s">
        <v>800</v>
      </c>
      <c r="C373" t="s">
        <v>788</v>
      </c>
      <c r="D373" t="s">
        <v>801</v>
      </c>
      <c r="E373" t="s">
        <v>13</v>
      </c>
      <c r="F373" t="s">
        <v>14</v>
      </c>
      <c r="G373">
        <v>140</v>
      </c>
      <c r="H373">
        <v>2</v>
      </c>
      <c r="I373" s="16">
        <f t="shared" si="53"/>
        <v>280</v>
      </c>
      <c r="J373">
        <v>2</v>
      </c>
      <c r="K373">
        <f t="shared" si="54"/>
        <v>280</v>
      </c>
      <c r="L373">
        <f t="shared" si="62"/>
        <v>0</v>
      </c>
      <c r="M373">
        <f t="shared" si="55"/>
        <v>0</v>
      </c>
      <c r="N373">
        <f t="shared" si="56"/>
        <v>0</v>
      </c>
      <c r="O373">
        <f t="shared" si="57"/>
        <v>0</v>
      </c>
    </row>
    <row r="374" spans="1:18" hidden="1" x14ac:dyDescent="0.3">
      <c r="A374">
        <v>1442</v>
      </c>
      <c r="B374" t="s">
        <v>802</v>
      </c>
      <c r="C374" t="s">
        <v>788</v>
      </c>
      <c r="D374" t="s">
        <v>803</v>
      </c>
      <c r="E374" t="s">
        <v>13</v>
      </c>
      <c r="F374" t="s">
        <v>39</v>
      </c>
      <c r="G374">
        <v>130</v>
      </c>
      <c r="H374">
        <v>2</v>
      </c>
      <c r="I374" s="16">
        <f t="shared" si="53"/>
        <v>260</v>
      </c>
      <c r="J374">
        <v>2</v>
      </c>
      <c r="K374">
        <f t="shared" si="54"/>
        <v>260</v>
      </c>
      <c r="L374">
        <f t="shared" si="62"/>
        <v>0</v>
      </c>
      <c r="M374">
        <f t="shared" si="55"/>
        <v>0</v>
      </c>
      <c r="N374">
        <f t="shared" si="56"/>
        <v>0</v>
      </c>
      <c r="O374">
        <f t="shared" si="57"/>
        <v>0</v>
      </c>
    </row>
    <row r="375" spans="1:18" hidden="1" x14ac:dyDescent="0.3">
      <c r="A375">
        <v>8239</v>
      </c>
      <c r="B375" t="s">
        <v>804</v>
      </c>
      <c r="C375" t="s">
        <v>788</v>
      </c>
      <c r="D375" t="s">
        <v>805</v>
      </c>
      <c r="E375" t="s">
        <v>13</v>
      </c>
      <c r="F375" t="s">
        <v>136</v>
      </c>
      <c r="G375">
        <v>100</v>
      </c>
      <c r="H375">
        <v>2</v>
      </c>
      <c r="I375" s="16">
        <f t="shared" si="53"/>
        <v>200</v>
      </c>
      <c r="J375">
        <v>2</v>
      </c>
      <c r="K375">
        <f t="shared" si="54"/>
        <v>200</v>
      </c>
      <c r="L375">
        <f t="shared" si="62"/>
        <v>0</v>
      </c>
      <c r="M375">
        <f t="shared" si="55"/>
        <v>0</v>
      </c>
      <c r="N375">
        <f t="shared" si="56"/>
        <v>0</v>
      </c>
      <c r="O375">
        <f t="shared" si="57"/>
        <v>0</v>
      </c>
    </row>
    <row r="376" spans="1:18" hidden="1" x14ac:dyDescent="0.3">
      <c r="A376">
        <v>11546</v>
      </c>
      <c r="B376" t="s">
        <v>806</v>
      </c>
      <c r="C376" t="s">
        <v>807</v>
      </c>
      <c r="D376" t="s">
        <v>808</v>
      </c>
      <c r="E376" t="s">
        <v>13</v>
      </c>
      <c r="F376" t="s">
        <v>44</v>
      </c>
      <c r="G376">
        <v>150</v>
      </c>
      <c r="H376">
        <v>2</v>
      </c>
      <c r="I376" s="16">
        <f t="shared" si="53"/>
        <v>300</v>
      </c>
      <c r="J376">
        <v>2</v>
      </c>
      <c r="K376">
        <f t="shared" si="54"/>
        <v>300</v>
      </c>
      <c r="L376">
        <f t="shared" si="62"/>
        <v>0</v>
      </c>
      <c r="M376">
        <f t="shared" si="55"/>
        <v>0</v>
      </c>
      <c r="N376">
        <f t="shared" si="56"/>
        <v>0</v>
      </c>
      <c r="O376">
        <f t="shared" si="57"/>
        <v>0</v>
      </c>
    </row>
    <row r="377" spans="1:18" hidden="1" x14ac:dyDescent="0.3">
      <c r="A377">
        <v>11543</v>
      </c>
      <c r="B377" t="s">
        <v>809</v>
      </c>
      <c r="C377" t="s">
        <v>807</v>
      </c>
      <c r="D377" t="s">
        <v>810</v>
      </c>
      <c r="E377" t="s">
        <v>13</v>
      </c>
      <c r="F377" t="s">
        <v>44</v>
      </c>
      <c r="G377">
        <v>120</v>
      </c>
      <c r="H377">
        <v>2</v>
      </c>
      <c r="I377" s="16">
        <f t="shared" si="53"/>
        <v>240</v>
      </c>
      <c r="J377">
        <v>2</v>
      </c>
      <c r="K377">
        <f t="shared" si="54"/>
        <v>240</v>
      </c>
      <c r="L377">
        <f t="shared" si="62"/>
        <v>0</v>
      </c>
      <c r="M377">
        <f t="shared" si="55"/>
        <v>0</v>
      </c>
      <c r="N377">
        <f t="shared" si="56"/>
        <v>0</v>
      </c>
      <c r="O377">
        <f t="shared" si="57"/>
        <v>0</v>
      </c>
    </row>
    <row r="378" spans="1:18" hidden="1" x14ac:dyDescent="0.3">
      <c r="A378">
        <v>11721</v>
      </c>
      <c r="B378" t="s">
        <v>811</v>
      </c>
      <c r="C378" t="s">
        <v>807</v>
      </c>
      <c r="D378" t="s">
        <v>812</v>
      </c>
      <c r="E378" t="s">
        <v>13</v>
      </c>
      <c r="F378" t="s">
        <v>813</v>
      </c>
      <c r="G378">
        <v>110</v>
      </c>
      <c r="H378">
        <v>2</v>
      </c>
      <c r="I378" s="16">
        <f t="shared" si="53"/>
        <v>220</v>
      </c>
      <c r="J378">
        <v>2</v>
      </c>
      <c r="K378">
        <f t="shared" si="54"/>
        <v>220</v>
      </c>
      <c r="L378">
        <f t="shared" si="62"/>
        <v>0</v>
      </c>
      <c r="M378">
        <f t="shared" si="55"/>
        <v>0</v>
      </c>
      <c r="N378">
        <f t="shared" si="56"/>
        <v>0</v>
      </c>
      <c r="O378">
        <f t="shared" si="57"/>
        <v>0</v>
      </c>
    </row>
    <row r="379" spans="1:18" hidden="1" x14ac:dyDescent="0.3">
      <c r="A379">
        <v>11681</v>
      </c>
      <c r="B379" t="s">
        <v>814</v>
      </c>
      <c r="C379" t="s">
        <v>807</v>
      </c>
      <c r="D379" t="s">
        <v>815</v>
      </c>
      <c r="E379" t="s">
        <v>13</v>
      </c>
      <c r="F379" t="s">
        <v>144</v>
      </c>
      <c r="G379">
        <v>140</v>
      </c>
      <c r="H379">
        <v>2</v>
      </c>
      <c r="I379" s="16">
        <f t="shared" si="53"/>
        <v>280</v>
      </c>
      <c r="J379">
        <v>2</v>
      </c>
      <c r="K379">
        <f t="shared" si="54"/>
        <v>280</v>
      </c>
      <c r="L379">
        <f t="shared" si="62"/>
        <v>0</v>
      </c>
      <c r="M379">
        <f t="shared" si="55"/>
        <v>0</v>
      </c>
      <c r="N379">
        <f t="shared" si="56"/>
        <v>0</v>
      </c>
      <c r="O379">
        <f t="shared" si="57"/>
        <v>0</v>
      </c>
    </row>
    <row r="380" spans="1:18" hidden="1" x14ac:dyDescent="0.3">
      <c r="A380">
        <v>11568</v>
      </c>
      <c r="B380" t="s">
        <v>816</v>
      </c>
      <c r="C380" t="s">
        <v>807</v>
      </c>
      <c r="D380" t="s">
        <v>817</v>
      </c>
      <c r="E380" t="s">
        <v>13</v>
      </c>
      <c r="F380" t="s">
        <v>813</v>
      </c>
      <c r="G380">
        <v>140</v>
      </c>
      <c r="H380">
        <v>2</v>
      </c>
      <c r="I380" s="16">
        <f t="shared" si="53"/>
        <v>280</v>
      </c>
      <c r="J380">
        <v>2</v>
      </c>
      <c r="K380">
        <f t="shared" si="54"/>
        <v>280</v>
      </c>
      <c r="L380">
        <f t="shared" si="62"/>
        <v>0</v>
      </c>
      <c r="M380">
        <f t="shared" si="55"/>
        <v>0</v>
      </c>
      <c r="N380">
        <f t="shared" si="56"/>
        <v>0</v>
      </c>
      <c r="O380">
        <f t="shared" si="57"/>
        <v>0</v>
      </c>
    </row>
    <row r="381" spans="1:18" ht="18.3" x14ac:dyDescent="0.4">
      <c r="A381">
        <v>12016</v>
      </c>
      <c r="B381" t="s">
        <v>818</v>
      </c>
      <c r="C381" t="s">
        <v>807</v>
      </c>
      <c r="D381" t="s">
        <v>819</v>
      </c>
      <c r="E381" t="s">
        <v>13</v>
      </c>
      <c r="F381" t="s">
        <v>14</v>
      </c>
      <c r="G381">
        <v>150</v>
      </c>
      <c r="H381">
        <v>2</v>
      </c>
      <c r="I381" s="16">
        <f t="shared" si="53"/>
        <v>300</v>
      </c>
      <c r="J381">
        <v>1</v>
      </c>
      <c r="K381">
        <f t="shared" si="54"/>
        <v>150</v>
      </c>
      <c r="L381">
        <f t="shared" si="62"/>
        <v>1</v>
      </c>
      <c r="M381">
        <f t="shared" si="55"/>
        <v>150</v>
      </c>
      <c r="N381">
        <f t="shared" si="56"/>
        <v>37.5</v>
      </c>
      <c r="O381">
        <f t="shared" si="57"/>
        <v>112.5</v>
      </c>
      <c r="R381" s="21" t="str">
        <f>_xlfn.TEXTJOIN("  by ",TRUE,B380,C380)</f>
        <v>Nalliravil Pettrom  by Komal Swaminathan</v>
      </c>
    </row>
    <row r="382" spans="1:18" hidden="1" x14ac:dyDescent="0.3">
      <c r="A382">
        <v>11750</v>
      </c>
      <c r="B382" t="s">
        <v>820</v>
      </c>
      <c r="C382" t="s">
        <v>807</v>
      </c>
      <c r="D382" t="s">
        <v>821</v>
      </c>
      <c r="E382" t="s">
        <v>13</v>
      </c>
      <c r="F382" t="s">
        <v>44</v>
      </c>
      <c r="G382">
        <v>140</v>
      </c>
      <c r="H382">
        <v>2</v>
      </c>
      <c r="I382" s="16">
        <f t="shared" si="53"/>
        <v>280</v>
      </c>
      <c r="J382">
        <v>2</v>
      </c>
      <c r="K382">
        <f t="shared" si="54"/>
        <v>280</v>
      </c>
      <c r="L382">
        <f t="shared" si="62"/>
        <v>0</v>
      </c>
      <c r="M382">
        <f t="shared" si="55"/>
        <v>0</v>
      </c>
      <c r="N382">
        <f t="shared" si="56"/>
        <v>0</v>
      </c>
      <c r="O382">
        <f t="shared" si="57"/>
        <v>0</v>
      </c>
    </row>
    <row r="383" spans="1:18" hidden="1" x14ac:dyDescent="0.3">
      <c r="A383">
        <v>11748</v>
      </c>
      <c r="B383" t="s">
        <v>822</v>
      </c>
      <c r="C383" t="s">
        <v>807</v>
      </c>
      <c r="D383" t="s">
        <v>823</v>
      </c>
      <c r="E383" t="s">
        <v>13</v>
      </c>
      <c r="F383" t="s">
        <v>824</v>
      </c>
      <c r="G383">
        <v>130</v>
      </c>
      <c r="H383">
        <v>2</v>
      </c>
      <c r="I383" s="16">
        <f t="shared" si="53"/>
        <v>260</v>
      </c>
      <c r="J383">
        <v>2</v>
      </c>
      <c r="K383">
        <f t="shared" si="54"/>
        <v>260</v>
      </c>
      <c r="L383">
        <f t="shared" si="62"/>
        <v>0</v>
      </c>
      <c r="M383">
        <f t="shared" si="55"/>
        <v>0</v>
      </c>
      <c r="N383">
        <f t="shared" si="56"/>
        <v>0</v>
      </c>
      <c r="O383">
        <f t="shared" si="57"/>
        <v>0</v>
      </c>
    </row>
    <row r="384" spans="1:18" hidden="1" x14ac:dyDescent="0.3">
      <c r="A384">
        <v>11751</v>
      </c>
      <c r="B384" t="s">
        <v>825</v>
      </c>
      <c r="C384" t="s">
        <v>807</v>
      </c>
      <c r="D384" t="s">
        <v>826</v>
      </c>
      <c r="E384" t="s">
        <v>13</v>
      </c>
      <c r="F384" t="s">
        <v>44</v>
      </c>
      <c r="G384">
        <v>140</v>
      </c>
      <c r="H384">
        <v>2</v>
      </c>
      <c r="I384" s="16">
        <f t="shared" si="53"/>
        <v>280</v>
      </c>
      <c r="J384">
        <v>2</v>
      </c>
      <c r="K384">
        <f t="shared" si="54"/>
        <v>280</v>
      </c>
      <c r="L384">
        <f t="shared" si="62"/>
        <v>0</v>
      </c>
      <c r="M384">
        <f t="shared" si="55"/>
        <v>0</v>
      </c>
      <c r="N384">
        <f t="shared" si="56"/>
        <v>0</v>
      </c>
      <c r="O384">
        <f t="shared" si="57"/>
        <v>0</v>
      </c>
    </row>
    <row r="385" spans="1:18" hidden="1" x14ac:dyDescent="0.3">
      <c r="A385">
        <v>11978</v>
      </c>
      <c r="B385" t="s">
        <v>827</v>
      </c>
      <c r="C385" t="s">
        <v>807</v>
      </c>
      <c r="D385" t="s">
        <v>828</v>
      </c>
      <c r="E385" t="s">
        <v>13</v>
      </c>
      <c r="F385" t="s">
        <v>14</v>
      </c>
      <c r="G385">
        <v>170</v>
      </c>
      <c r="H385">
        <v>2</v>
      </c>
      <c r="I385" s="16">
        <f t="shared" si="53"/>
        <v>340</v>
      </c>
      <c r="J385">
        <v>2</v>
      </c>
      <c r="K385">
        <f t="shared" si="54"/>
        <v>340</v>
      </c>
      <c r="L385">
        <f t="shared" si="62"/>
        <v>0</v>
      </c>
      <c r="M385">
        <f t="shared" si="55"/>
        <v>0</v>
      </c>
      <c r="N385">
        <f t="shared" si="56"/>
        <v>0</v>
      </c>
      <c r="O385">
        <f t="shared" si="57"/>
        <v>0</v>
      </c>
    </row>
    <row r="386" spans="1:18" ht="18.3" x14ac:dyDescent="0.4">
      <c r="A386">
        <v>11660</v>
      </c>
      <c r="B386" t="s">
        <v>829</v>
      </c>
      <c r="C386" t="s">
        <v>807</v>
      </c>
      <c r="D386" t="s">
        <v>830</v>
      </c>
      <c r="E386" t="s">
        <v>13</v>
      </c>
      <c r="F386" t="s">
        <v>675</v>
      </c>
      <c r="G386">
        <v>440</v>
      </c>
      <c r="H386">
        <v>2</v>
      </c>
      <c r="I386" s="16">
        <f t="shared" si="53"/>
        <v>880</v>
      </c>
      <c r="J386">
        <v>1</v>
      </c>
      <c r="K386">
        <f t="shared" si="54"/>
        <v>440</v>
      </c>
      <c r="L386">
        <f t="shared" si="62"/>
        <v>1</v>
      </c>
      <c r="M386">
        <f t="shared" si="55"/>
        <v>440</v>
      </c>
      <c r="N386">
        <f t="shared" si="56"/>
        <v>110</v>
      </c>
      <c r="O386">
        <f t="shared" si="57"/>
        <v>330</v>
      </c>
      <c r="R386" s="21" t="str">
        <f>_xlfn.TEXTJOIN("  by ",TRUE,B385,C385)</f>
        <v>Raja Parambarai  by Komal Swaminathan</v>
      </c>
    </row>
    <row r="387" spans="1:18" hidden="1" x14ac:dyDescent="0.3">
      <c r="A387">
        <v>11943</v>
      </c>
      <c r="B387" t="s">
        <v>831</v>
      </c>
      <c r="C387" t="s">
        <v>807</v>
      </c>
      <c r="D387" t="s">
        <v>832</v>
      </c>
      <c r="E387" t="s">
        <v>13</v>
      </c>
      <c r="F387" t="s">
        <v>44</v>
      </c>
      <c r="G387">
        <v>160</v>
      </c>
      <c r="H387">
        <v>2</v>
      </c>
      <c r="I387" s="16">
        <f t="shared" ref="I387:I450" si="63">H387*G387</f>
        <v>320</v>
      </c>
      <c r="J387">
        <v>2</v>
      </c>
      <c r="K387">
        <f t="shared" ref="K387:K450" si="64">J387*G387</f>
        <v>320</v>
      </c>
      <c r="L387">
        <f t="shared" si="62"/>
        <v>0</v>
      </c>
      <c r="M387">
        <f t="shared" ref="M387:M450" si="65">L387*G387</f>
        <v>0</v>
      </c>
      <c r="N387">
        <f t="shared" ref="N387:N450" si="66">M387*0.25</f>
        <v>0</v>
      </c>
      <c r="O387">
        <f t="shared" ref="O387:O450" si="67">M387-N387</f>
        <v>0</v>
      </c>
    </row>
    <row r="388" spans="1:18" hidden="1" x14ac:dyDescent="0.3">
      <c r="A388">
        <v>1518</v>
      </c>
      <c r="B388" t="s">
        <v>833</v>
      </c>
      <c r="C388" t="s">
        <v>834</v>
      </c>
      <c r="D388" t="s">
        <v>835</v>
      </c>
      <c r="E388" t="s">
        <v>13</v>
      </c>
      <c r="F388" t="s">
        <v>123</v>
      </c>
      <c r="G388">
        <v>340</v>
      </c>
      <c r="H388">
        <v>1</v>
      </c>
      <c r="I388" s="16">
        <f t="shared" si="63"/>
        <v>340</v>
      </c>
      <c r="J388">
        <v>1</v>
      </c>
      <c r="K388">
        <f t="shared" si="64"/>
        <v>340</v>
      </c>
      <c r="L388">
        <f t="shared" si="62"/>
        <v>0</v>
      </c>
      <c r="M388">
        <f t="shared" si="65"/>
        <v>0</v>
      </c>
      <c r="N388">
        <f t="shared" si="66"/>
        <v>0</v>
      </c>
      <c r="O388">
        <f t="shared" si="67"/>
        <v>0</v>
      </c>
    </row>
    <row r="389" spans="1:18" hidden="1" x14ac:dyDescent="0.3">
      <c r="A389">
        <v>3117</v>
      </c>
      <c r="B389" t="s">
        <v>836</v>
      </c>
      <c r="C389" t="s">
        <v>834</v>
      </c>
      <c r="D389" t="s">
        <v>837</v>
      </c>
      <c r="E389" t="s">
        <v>13</v>
      </c>
      <c r="F389" t="s">
        <v>123</v>
      </c>
      <c r="G389">
        <v>290</v>
      </c>
      <c r="H389">
        <v>1</v>
      </c>
      <c r="I389" s="16">
        <f t="shared" si="63"/>
        <v>290</v>
      </c>
      <c r="J389">
        <v>1</v>
      </c>
      <c r="K389">
        <f t="shared" si="64"/>
        <v>290</v>
      </c>
      <c r="L389">
        <f t="shared" si="62"/>
        <v>0</v>
      </c>
      <c r="M389">
        <f t="shared" si="65"/>
        <v>0</v>
      </c>
      <c r="N389">
        <f t="shared" si="66"/>
        <v>0</v>
      </c>
      <c r="O389">
        <f t="shared" si="67"/>
        <v>0</v>
      </c>
    </row>
    <row r="390" spans="1:18" ht="18.3" x14ac:dyDescent="0.4">
      <c r="A390">
        <v>1493</v>
      </c>
      <c r="B390" t="s">
        <v>838</v>
      </c>
      <c r="C390" t="s">
        <v>834</v>
      </c>
      <c r="D390" t="s">
        <v>839</v>
      </c>
      <c r="E390" t="s">
        <v>13</v>
      </c>
      <c r="F390" t="s">
        <v>116</v>
      </c>
      <c r="G390">
        <v>280</v>
      </c>
      <c r="H390">
        <v>2</v>
      </c>
      <c r="I390" s="16">
        <f t="shared" si="63"/>
        <v>560</v>
      </c>
      <c r="J390">
        <v>0</v>
      </c>
      <c r="K390">
        <f t="shared" si="64"/>
        <v>0</v>
      </c>
      <c r="L390">
        <f t="shared" si="62"/>
        <v>2</v>
      </c>
      <c r="M390">
        <f t="shared" si="65"/>
        <v>560</v>
      </c>
      <c r="N390">
        <f t="shared" si="66"/>
        <v>140</v>
      </c>
      <c r="O390">
        <f t="shared" si="67"/>
        <v>420</v>
      </c>
      <c r="R390" s="21" t="str">
        <f>_xlfn.TEXTJOIN("  by ",TRUE,B389,C389)</f>
        <v>Kadathal Kaatru  by Kottayam Pushpanath</v>
      </c>
    </row>
    <row r="391" spans="1:18" hidden="1" x14ac:dyDescent="0.3">
      <c r="A391">
        <v>3119</v>
      </c>
      <c r="B391" t="s">
        <v>840</v>
      </c>
      <c r="C391" t="s">
        <v>834</v>
      </c>
      <c r="D391" t="s">
        <v>841</v>
      </c>
      <c r="E391" t="s">
        <v>13</v>
      </c>
      <c r="F391" t="s">
        <v>504</v>
      </c>
      <c r="G391">
        <v>210</v>
      </c>
      <c r="H391">
        <v>1</v>
      </c>
      <c r="I391" s="16">
        <f t="shared" si="63"/>
        <v>210</v>
      </c>
      <c r="J391">
        <v>1</v>
      </c>
      <c r="K391">
        <f t="shared" si="64"/>
        <v>210</v>
      </c>
      <c r="L391">
        <f t="shared" si="62"/>
        <v>0</v>
      </c>
      <c r="M391">
        <f t="shared" si="65"/>
        <v>0</v>
      </c>
      <c r="N391">
        <f t="shared" si="66"/>
        <v>0</v>
      </c>
      <c r="O391">
        <f t="shared" si="67"/>
        <v>0</v>
      </c>
    </row>
    <row r="392" spans="1:18" hidden="1" x14ac:dyDescent="0.3">
      <c r="A392">
        <v>1378</v>
      </c>
      <c r="B392" t="s">
        <v>842</v>
      </c>
      <c r="C392" t="s">
        <v>834</v>
      </c>
      <c r="D392" t="s">
        <v>843</v>
      </c>
      <c r="E392" t="s">
        <v>13</v>
      </c>
      <c r="F392" t="s">
        <v>123</v>
      </c>
      <c r="G392">
        <v>310</v>
      </c>
      <c r="H392">
        <v>2</v>
      </c>
      <c r="I392" s="16">
        <f t="shared" si="63"/>
        <v>620</v>
      </c>
      <c r="J392">
        <v>2</v>
      </c>
      <c r="K392">
        <f t="shared" si="64"/>
        <v>620</v>
      </c>
      <c r="L392">
        <f t="shared" si="62"/>
        <v>0</v>
      </c>
      <c r="M392">
        <f t="shared" si="65"/>
        <v>0</v>
      </c>
      <c r="N392">
        <f t="shared" si="66"/>
        <v>0</v>
      </c>
      <c r="O392">
        <f t="shared" si="67"/>
        <v>0</v>
      </c>
    </row>
    <row r="393" spans="1:18" ht="18.3" x14ac:dyDescent="0.4">
      <c r="A393">
        <v>1764</v>
      </c>
      <c r="B393" t="s">
        <v>844</v>
      </c>
      <c r="C393" t="s">
        <v>834</v>
      </c>
      <c r="D393" t="s">
        <v>845</v>
      </c>
      <c r="E393" t="s">
        <v>13</v>
      </c>
      <c r="F393" t="s">
        <v>116</v>
      </c>
      <c r="G393">
        <v>210</v>
      </c>
      <c r="H393">
        <v>2</v>
      </c>
      <c r="I393" s="16">
        <f t="shared" si="63"/>
        <v>420</v>
      </c>
      <c r="J393">
        <v>0</v>
      </c>
      <c r="K393">
        <f t="shared" si="64"/>
        <v>0</v>
      </c>
      <c r="L393">
        <f t="shared" si="62"/>
        <v>2</v>
      </c>
      <c r="M393">
        <f t="shared" si="65"/>
        <v>420</v>
      </c>
      <c r="N393">
        <f t="shared" si="66"/>
        <v>105</v>
      </c>
      <c r="O393">
        <f t="shared" si="67"/>
        <v>315</v>
      </c>
      <c r="R393" s="21" t="str">
        <f t="shared" ref="R393:R394" si="68">_xlfn.TEXTJOIN("  by ",TRUE,B392,C392)</f>
        <v>Marine Drive  by Kottayam Pushpanath</v>
      </c>
    </row>
    <row r="394" spans="1:18" ht="18.3" x14ac:dyDescent="0.4">
      <c r="A394">
        <v>3109</v>
      </c>
      <c r="B394" t="s">
        <v>846</v>
      </c>
      <c r="C394" t="s">
        <v>834</v>
      </c>
      <c r="D394" t="s">
        <v>847</v>
      </c>
      <c r="E394" t="s">
        <v>13</v>
      </c>
      <c r="F394" t="s">
        <v>504</v>
      </c>
      <c r="G394">
        <v>340</v>
      </c>
      <c r="H394">
        <v>2</v>
      </c>
      <c r="I394" s="16">
        <f t="shared" si="63"/>
        <v>680</v>
      </c>
      <c r="J394">
        <v>0</v>
      </c>
      <c r="K394">
        <f t="shared" si="64"/>
        <v>0</v>
      </c>
      <c r="L394">
        <f t="shared" si="62"/>
        <v>2</v>
      </c>
      <c r="M394">
        <f t="shared" si="65"/>
        <v>680</v>
      </c>
      <c r="N394">
        <f t="shared" si="66"/>
        <v>170</v>
      </c>
      <c r="O394">
        <f t="shared" si="67"/>
        <v>510</v>
      </c>
      <c r="R394" s="21" t="str">
        <f t="shared" si="68"/>
        <v>Marma Maaligai  by Kottayam Pushpanath</v>
      </c>
    </row>
    <row r="395" spans="1:18" hidden="1" x14ac:dyDescent="0.3">
      <c r="A395">
        <v>1882</v>
      </c>
      <c r="B395" t="s">
        <v>848</v>
      </c>
      <c r="C395" t="s">
        <v>834</v>
      </c>
      <c r="D395" t="s">
        <v>849</v>
      </c>
      <c r="E395" t="s">
        <v>13</v>
      </c>
      <c r="F395" t="s">
        <v>116</v>
      </c>
      <c r="G395">
        <v>280</v>
      </c>
      <c r="H395">
        <v>1</v>
      </c>
      <c r="I395" s="16">
        <f t="shared" si="63"/>
        <v>280</v>
      </c>
      <c r="J395">
        <v>1</v>
      </c>
      <c r="K395">
        <f t="shared" si="64"/>
        <v>280</v>
      </c>
      <c r="L395">
        <f t="shared" si="62"/>
        <v>0</v>
      </c>
      <c r="M395">
        <f t="shared" si="65"/>
        <v>0</v>
      </c>
      <c r="N395">
        <f t="shared" si="66"/>
        <v>0</v>
      </c>
      <c r="O395">
        <f t="shared" si="67"/>
        <v>0</v>
      </c>
    </row>
    <row r="396" spans="1:18" ht="18.3" x14ac:dyDescent="0.4">
      <c r="B396" t="s">
        <v>850</v>
      </c>
      <c r="C396" t="s">
        <v>834</v>
      </c>
      <c r="E396" t="s">
        <v>13</v>
      </c>
      <c r="F396" t="s">
        <v>116</v>
      </c>
      <c r="G396">
        <v>280</v>
      </c>
      <c r="H396">
        <v>1</v>
      </c>
      <c r="I396" s="16">
        <f t="shared" si="63"/>
        <v>280</v>
      </c>
      <c r="J396">
        <v>0</v>
      </c>
      <c r="K396">
        <f t="shared" si="64"/>
        <v>0</v>
      </c>
      <c r="L396">
        <f t="shared" si="62"/>
        <v>1</v>
      </c>
      <c r="M396">
        <f t="shared" si="65"/>
        <v>280</v>
      </c>
      <c r="N396">
        <f t="shared" si="66"/>
        <v>70</v>
      </c>
      <c r="O396">
        <f t="shared" si="67"/>
        <v>210</v>
      </c>
      <c r="R396" s="21" t="str">
        <f>_xlfn.TEXTJOIN("  by ",TRUE,B395,C395)</f>
        <v>Nizhal Illatha Manithan  by Kottayam Pushpanath</v>
      </c>
    </row>
    <row r="397" spans="1:18" hidden="1" x14ac:dyDescent="0.3">
      <c r="B397" t="s">
        <v>851</v>
      </c>
      <c r="C397" t="s">
        <v>834</v>
      </c>
      <c r="E397" t="s">
        <v>13</v>
      </c>
      <c r="F397" t="s">
        <v>116</v>
      </c>
      <c r="G397">
        <v>270</v>
      </c>
      <c r="H397">
        <v>1</v>
      </c>
      <c r="I397" s="16">
        <f t="shared" si="63"/>
        <v>270</v>
      </c>
      <c r="J397">
        <v>1</v>
      </c>
      <c r="K397">
        <f t="shared" si="64"/>
        <v>270</v>
      </c>
      <c r="L397">
        <f t="shared" si="62"/>
        <v>0</v>
      </c>
      <c r="M397">
        <f t="shared" si="65"/>
        <v>0</v>
      </c>
      <c r="N397">
        <f t="shared" si="66"/>
        <v>0</v>
      </c>
      <c r="O397">
        <f t="shared" si="67"/>
        <v>0</v>
      </c>
    </row>
    <row r="398" spans="1:18" ht="18.3" x14ac:dyDescent="0.4">
      <c r="B398" t="s">
        <v>852</v>
      </c>
      <c r="C398" t="s">
        <v>834</v>
      </c>
      <c r="D398" t="s">
        <v>853</v>
      </c>
      <c r="E398" t="s">
        <v>13</v>
      </c>
      <c r="F398" t="s">
        <v>116</v>
      </c>
      <c r="G398">
        <v>300</v>
      </c>
      <c r="H398">
        <v>2</v>
      </c>
      <c r="I398" s="16">
        <f t="shared" si="63"/>
        <v>600</v>
      </c>
      <c r="J398">
        <v>1</v>
      </c>
      <c r="K398">
        <f t="shared" si="64"/>
        <v>300</v>
      </c>
      <c r="L398">
        <f t="shared" si="62"/>
        <v>1</v>
      </c>
      <c r="M398">
        <f t="shared" si="65"/>
        <v>300</v>
      </c>
      <c r="N398">
        <f t="shared" si="66"/>
        <v>75</v>
      </c>
      <c r="O398">
        <f t="shared" si="67"/>
        <v>225</v>
      </c>
      <c r="R398" s="21" t="str">
        <f t="shared" ref="R398:R400" si="69">_xlfn.TEXTJOIN("  by ",TRUE,B397,C397)</f>
        <v>Mohini Koil  by Kottayam Pushpanath</v>
      </c>
    </row>
    <row r="399" spans="1:18" ht="18.3" x14ac:dyDescent="0.4">
      <c r="A399">
        <v>4990</v>
      </c>
      <c r="B399" t="s">
        <v>854</v>
      </c>
      <c r="C399" t="s">
        <v>834</v>
      </c>
      <c r="D399" t="s">
        <v>855</v>
      </c>
      <c r="E399" t="s">
        <v>13</v>
      </c>
      <c r="F399" t="s">
        <v>504</v>
      </c>
      <c r="G399">
        <v>300</v>
      </c>
      <c r="H399">
        <v>2</v>
      </c>
      <c r="I399" s="16">
        <f t="shared" si="63"/>
        <v>600</v>
      </c>
      <c r="J399">
        <v>1</v>
      </c>
      <c r="K399">
        <f t="shared" si="64"/>
        <v>300</v>
      </c>
      <c r="L399">
        <f t="shared" si="62"/>
        <v>1</v>
      </c>
      <c r="M399">
        <f t="shared" si="65"/>
        <v>300</v>
      </c>
      <c r="N399">
        <f t="shared" si="66"/>
        <v>75</v>
      </c>
      <c r="O399">
        <f t="shared" si="67"/>
        <v>225</v>
      </c>
      <c r="R399" s="21" t="str">
        <f t="shared" si="69"/>
        <v>Deva Narthagi  by Kottayam Pushpanath</v>
      </c>
    </row>
    <row r="400" spans="1:18" ht="18.3" x14ac:dyDescent="0.4">
      <c r="A400">
        <v>1723</v>
      </c>
      <c r="B400" t="s">
        <v>856</v>
      </c>
      <c r="C400" t="s">
        <v>857</v>
      </c>
      <c r="D400" t="s">
        <v>858</v>
      </c>
      <c r="E400" t="s">
        <v>13</v>
      </c>
      <c r="F400" t="s">
        <v>44</v>
      </c>
      <c r="G400">
        <v>130</v>
      </c>
      <c r="H400">
        <v>2</v>
      </c>
      <c r="I400" s="16">
        <f t="shared" si="63"/>
        <v>260</v>
      </c>
      <c r="J400">
        <v>1</v>
      </c>
      <c r="K400">
        <f t="shared" si="64"/>
        <v>130</v>
      </c>
      <c r="L400">
        <f t="shared" si="62"/>
        <v>1</v>
      </c>
      <c r="M400">
        <f t="shared" si="65"/>
        <v>130</v>
      </c>
      <c r="N400">
        <f t="shared" si="66"/>
        <v>32.5</v>
      </c>
      <c r="O400">
        <f t="shared" si="67"/>
        <v>97.5</v>
      </c>
      <c r="R400" s="21" t="str">
        <f t="shared" si="69"/>
        <v>Vaa! Arugil Vaa!  by Kottayam Pushpanath</v>
      </c>
    </row>
    <row r="401" spans="1:18" hidden="1" x14ac:dyDescent="0.3">
      <c r="A401">
        <v>4852</v>
      </c>
      <c r="B401" t="s">
        <v>859</v>
      </c>
      <c r="C401" t="s">
        <v>857</v>
      </c>
      <c r="D401" t="s">
        <v>860</v>
      </c>
      <c r="E401" t="s">
        <v>13</v>
      </c>
      <c r="F401" t="s">
        <v>44</v>
      </c>
      <c r="G401">
        <v>300</v>
      </c>
      <c r="H401">
        <v>2</v>
      </c>
      <c r="I401" s="16">
        <f t="shared" si="63"/>
        <v>600</v>
      </c>
      <c r="J401">
        <v>2</v>
      </c>
      <c r="K401">
        <f t="shared" si="64"/>
        <v>600</v>
      </c>
      <c r="L401">
        <f t="shared" si="62"/>
        <v>0</v>
      </c>
      <c r="M401">
        <f t="shared" si="65"/>
        <v>0</v>
      </c>
      <c r="N401">
        <f t="shared" si="66"/>
        <v>0</v>
      </c>
      <c r="O401">
        <f t="shared" si="67"/>
        <v>0</v>
      </c>
    </row>
    <row r="402" spans="1:18" hidden="1" x14ac:dyDescent="0.3">
      <c r="A402">
        <v>4853</v>
      </c>
      <c r="B402" t="s">
        <v>861</v>
      </c>
      <c r="C402" t="s">
        <v>857</v>
      </c>
      <c r="D402" t="s">
        <v>862</v>
      </c>
      <c r="E402" t="s">
        <v>13</v>
      </c>
      <c r="F402" t="s">
        <v>44</v>
      </c>
      <c r="G402">
        <v>280</v>
      </c>
      <c r="H402">
        <v>2</v>
      </c>
      <c r="I402" s="16">
        <f t="shared" si="63"/>
        <v>560</v>
      </c>
      <c r="J402">
        <v>2</v>
      </c>
      <c r="K402">
        <f t="shared" si="64"/>
        <v>560</v>
      </c>
      <c r="L402">
        <f t="shared" si="62"/>
        <v>0</v>
      </c>
      <c r="M402">
        <f t="shared" si="65"/>
        <v>0</v>
      </c>
      <c r="N402">
        <f t="shared" si="66"/>
        <v>0</v>
      </c>
      <c r="O402">
        <f t="shared" si="67"/>
        <v>0</v>
      </c>
    </row>
    <row r="403" spans="1:18" hidden="1" x14ac:dyDescent="0.3">
      <c r="A403">
        <v>4845</v>
      </c>
      <c r="B403" t="s">
        <v>863</v>
      </c>
      <c r="C403" t="s">
        <v>857</v>
      </c>
      <c r="D403" t="s">
        <v>864</v>
      </c>
      <c r="E403" t="s">
        <v>13</v>
      </c>
      <c r="F403" t="s">
        <v>44</v>
      </c>
      <c r="G403">
        <v>570</v>
      </c>
      <c r="H403">
        <v>2</v>
      </c>
      <c r="I403" s="16">
        <f t="shared" si="63"/>
        <v>1140</v>
      </c>
      <c r="J403">
        <v>2</v>
      </c>
      <c r="K403">
        <f t="shared" si="64"/>
        <v>1140</v>
      </c>
      <c r="L403">
        <f t="shared" si="62"/>
        <v>0</v>
      </c>
      <c r="M403">
        <f t="shared" si="65"/>
        <v>0</v>
      </c>
      <c r="N403">
        <f t="shared" si="66"/>
        <v>0</v>
      </c>
      <c r="O403">
        <f t="shared" si="67"/>
        <v>0</v>
      </c>
    </row>
    <row r="404" spans="1:18" ht="18.3" x14ac:dyDescent="0.4">
      <c r="A404">
        <v>5161</v>
      </c>
      <c r="B404" t="s">
        <v>865</v>
      </c>
      <c r="C404" t="s">
        <v>857</v>
      </c>
      <c r="D404" t="s">
        <v>866</v>
      </c>
      <c r="E404" t="s">
        <v>13</v>
      </c>
      <c r="F404" t="s">
        <v>44</v>
      </c>
      <c r="G404">
        <v>210</v>
      </c>
      <c r="H404">
        <v>2</v>
      </c>
      <c r="I404" s="16">
        <f t="shared" si="63"/>
        <v>420</v>
      </c>
      <c r="J404">
        <v>1</v>
      </c>
      <c r="K404">
        <f t="shared" si="64"/>
        <v>210</v>
      </c>
      <c r="L404">
        <f t="shared" si="62"/>
        <v>1</v>
      </c>
      <c r="M404">
        <f t="shared" si="65"/>
        <v>210</v>
      </c>
      <c r="N404">
        <f t="shared" si="66"/>
        <v>52.5</v>
      </c>
      <c r="O404">
        <f t="shared" si="67"/>
        <v>157.5</v>
      </c>
      <c r="R404" s="21" t="str">
        <f>_xlfn.TEXTJOIN("  by ",TRUE,B403,C403)</f>
        <v>Aval  by La. Sa. Ramamirtham</v>
      </c>
    </row>
    <row r="405" spans="1:18" hidden="1" x14ac:dyDescent="0.3">
      <c r="A405">
        <v>7081</v>
      </c>
      <c r="B405" t="s">
        <v>867</v>
      </c>
      <c r="C405" t="s">
        <v>857</v>
      </c>
      <c r="D405" t="s">
        <v>868</v>
      </c>
      <c r="E405" t="s">
        <v>13</v>
      </c>
      <c r="F405" t="s">
        <v>44</v>
      </c>
      <c r="G405">
        <v>220</v>
      </c>
      <c r="H405">
        <v>2</v>
      </c>
      <c r="I405" s="16">
        <f t="shared" si="63"/>
        <v>440</v>
      </c>
      <c r="J405">
        <v>2</v>
      </c>
      <c r="K405">
        <f t="shared" si="64"/>
        <v>440</v>
      </c>
      <c r="L405">
        <f t="shared" si="62"/>
        <v>0</v>
      </c>
      <c r="M405">
        <f t="shared" si="65"/>
        <v>0</v>
      </c>
      <c r="N405">
        <f t="shared" si="66"/>
        <v>0</v>
      </c>
      <c r="O405">
        <f t="shared" si="67"/>
        <v>0</v>
      </c>
    </row>
    <row r="406" spans="1:18" hidden="1" x14ac:dyDescent="0.3">
      <c r="A406">
        <v>4925</v>
      </c>
      <c r="B406" t="s">
        <v>869</v>
      </c>
      <c r="C406" t="s">
        <v>857</v>
      </c>
      <c r="D406" t="s">
        <v>870</v>
      </c>
      <c r="E406" t="s">
        <v>13</v>
      </c>
      <c r="F406" t="s">
        <v>44</v>
      </c>
      <c r="G406">
        <v>140</v>
      </c>
      <c r="H406">
        <v>2</v>
      </c>
      <c r="I406" s="16">
        <f t="shared" si="63"/>
        <v>280</v>
      </c>
      <c r="J406">
        <v>2</v>
      </c>
      <c r="K406">
        <f t="shared" si="64"/>
        <v>280</v>
      </c>
      <c r="L406">
        <f t="shared" si="62"/>
        <v>0</v>
      </c>
      <c r="M406">
        <f t="shared" si="65"/>
        <v>0</v>
      </c>
      <c r="N406">
        <f t="shared" si="66"/>
        <v>0</v>
      </c>
      <c r="O406">
        <f t="shared" si="67"/>
        <v>0</v>
      </c>
    </row>
    <row r="407" spans="1:18" hidden="1" x14ac:dyDescent="0.3">
      <c r="A407">
        <v>11003</v>
      </c>
      <c r="B407" t="s">
        <v>871</v>
      </c>
      <c r="C407" t="s">
        <v>872</v>
      </c>
      <c r="D407" t="s">
        <v>873</v>
      </c>
      <c r="E407" t="s">
        <v>13</v>
      </c>
      <c r="F407" t="s">
        <v>14</v>
      </c>
      <c r="G407">
        <v>170</v>
      </c>
      <c r="H407">
        <v>2</v>
      </c>
      <c r="I407" s="16">
        <f t="shared" si="63"/>
        <v>340</v>
      </c>
      <c r="J407">
        <v>2</v>
      </c>
      <c r="K407">
        <f t="shared" si="64"/>
        <v>340</v>
      </c>
      <c r="L407">
        <f t="shared" si="62"/>
        <v>0</v>
      </c>
      <c r="M407">
        <f t="shared" si="65"/>
        <v>0</v>
      </c>
      <c r="N407">
        <f t="shared" si="66"/>
        <v>0</v>
      </c>
      <c r="O407">
        <f t="shared" si="67"/>
        <v>0</v>
      </c>
    </row>
    <row r="408" spans="1:18" hidden="1" x14ac:dyDescent="0.3">
      <c r="A408">
        <v>11023</v>
      </c>
      <c r="B408" t="s">
        <v>874</v>
      </c>
      <c r="C408" t="s">
        <v>872</v>
      </c>
      <c r="D408" t="s">
        <v>875</v>
      </c>
      <c r="E408" t="s">
        <v>13</v>
      </c>
      <c r="F408" t="s">
        <v>14</v>
      </c>
      <c r="G408">
        <v>220</v>
      </c>
      <c r="H408">
        <v>2</v>
      </c>
      <c r="I408" s="16">
        <f t="shared" si="63"/>
        <v>440</v>
      </c>
      <c r="J408">
        <v>2</v>
      </c>
      <c r="K408">
        <f t="shared" si="64"/>
        <v>440</v>
      </c>
      <c r="L408">
        <f t="shared" si="62"/>
        <v>0</v>
      </c>
      <c r="M408">
        <f t="shared" si="65"/>
        <v>0</v>
      </c>
      <c r="N408">
        <f t="shared" si="66"/>
        <v>0</v>
      </c>
      <c r="O408">
        <f t="shared" si="67"/>
        <v>0</v>
      </c>
    </row>
    <row r="409" spans="1:18" ht="18.3" x14ac:dyDescent="0.4">
      <c r="A409">
        <v>8896</v>
      </c>
      <c r="B409" t="s">
        <v>876</v>
      </c>
      <c r="C409" t="s">
        <v>872</v>
      </c>
      <c r="D409" t="s">
        <v>877</v>
      </c>
      <c r="E409" t="s">
        <v>13</v>
      </c>
      <c r="F409" t="s">
        <v>14</v>
      </c>
      <c r="G409">
        <v>160</v>
      </c>
      <c r="H409">
        <v>2</v>
      </c>
      <c r="I409" s="16">
        <f t="shared" si="63"/>
        <v>320</v>
      </c>
      <c r="J409">
        <v>1</v>
      </c>
      <c r="K409">
        <f t="shared" si="64"/>
        <v>160</v>
      </c>
      <c r="L409">
        <f t="shared" si="62"/>
        <v>1</v>
      </c>
      <c r="M409">
        <f t="shared" si="65"/>
        <v>160</v>
      </c>
      <c r="N409">
        <f t="shared" si="66"/>
        <v>40</v>
      </c>
      <c r="O409">
        <f t="shared" si="67"/>
        <v>120</v>
      </c>
      <c r="R409" s="21" t="str">
        <f t="shared" ref="R409:R412" si="70">_xlfn.TEXTJOIN("  by ",TRUE,B408,C408)</f>
        <v>Amma! Enakkaga...  by Lakshmi</v>
      </c>
    </row>
    <row r="410" spans="1:18" ht="18.3" x14ac:dyDescent="0.4">
      <c r="A410">
        <v>10875</v>
      </c>
      <c r="B410" t="s">
        <v>878</v>
      </c>
      <c r="C410" t="s">
        <v>872</v>
      </c>
      <c r="D410" t="s">
        <v>879</v>
      </c>
      <c r="E410" t="s">
        <v>13</v>
      </c>
      <c r="F410" t="s">
        <v>14</v>
      </c>
      <c r="G410">
        <v>170</v>
      </c>
      <c r="H410">
        <v>2</v>
      </c>
      <c r="I410" s="16">
        <f t="shared" si="63"/>
        <v>340</v>
      </c>
      <c r="J410">
        <v>1</v>
      </c>
      <c r="K410">
        <f t="shared" si="64"/>
        <v>170</v>
      </c>
      <c r="L410">
        <f t="shared" si="62"/>
        <v>1</v>
      </c>
      <c r="M410">
        <f t="shared" si="65"/>
        <v>170</v>
      </c>
      <c r="N410">
        <f t="shared" si="66"/>
        <v>42.5</v>
      </c>
      <c r="O410">
        <f t="shared" si="67"/>
        <v>127.5</v>
      </c>
      <c r="R410" s="21" t="str">
        <f t="shared" si="70"/>
        <v>Ammavukku Kalyanam  by Lakshmi</v>
      </c>
    </row>
    <row r="411" spans="1:18" ht="18.3" x14ac:dyDescent="0.4">
      <c r="A411">
        <v>11018</v>
      </c>
      <c r="B411" t="s">
        <v>880</v>
      </c>
      <c r="C411" t="s">
        <v>872</v>
      </c>
      <c r="D411" t="s">
        <v>881</v>
      </c>
      <c r="E411" t="s">
        <v>13</v>
      </c>
      <c r="F411" t="s">
        <v>14</v>
      </c>
      <c r="G411">
        <v>160</v>
      </c>
      <c r="H411">
        <v>2</v>
      </c>
      <c r="I411" s="16">
        <f t="shared" si="63"/>
        <v>320</v>
      </c>
      <c r="J411">
        <v>1</v>
      </c>
      <c r="K411">
        <f t="shared" si="64"/>
        <v>160</v>
      </c>
      <c r="L411">
        <f t="shared" si="62"/>
        <v>1</v>
      </c>
      <c r="M411">
        <f t="shared" si="65"/>
        <v>160</v>
      </c>
      <c r="N411">
        <f t="shared" si="66"/>
        <v>40</v>
      </c>
      <c r="O411">
        <f t="shared" si="67"/>
        <v>120</v>
      </c>
      <c r="R411" s="21" t="str">
        <f t="shared" si="70"/>
        <v>Anaikka Oru Karam Vendum  by Lakshmi</v>
      </c>
    </row>
    <row r="412" spans="1:18" ht="18.3" x14ac:dyDescent="0.4">
      <c r="A412">
        <v>8654</v>
      </c>
      <c r="B412" t="s">
        <v>882</v>
      </c>
      <c r="C412" t="s">
        <v>872</v>
      </c>
      <c r="D412" t="s">
        <v>883</v>
      </c>
      <c r="E412" t="s">
        <v>13</v>
      </c>
      <c r="F412" t="s">
        <v>14</v>
      </c>
      <c r="G412">
        <v>170</v>
      </c>
      <c r="H412">
        <v>2</v>
      </c>
      <c r="I412" s="16">
        <f t="shared" si="63"/>
        <v>340</v>
      </c>
      <c r="J412">
        <v>1</v>
      </c>
      <c r="K412">
        <f t="shared" si="64"/>
        <v>170</v>
      </c>
      <c r="L412">
        <f t="shared" si="62"/>
        <v>1</v>
      </c>
      <c r="M412">
        <f t="shared" si="65"/>
        <v>170</v>
      </c>
      <c r="N412">
        <f t="shared" si="66"/>
        <v>42.5</v>
      </c>
      <c r="O412">
        <f t="shared" si="67"/>
        <v>127.5</v>
      </c>
      <c r="R412" s="21" t="str">
        <f t="shared" si="70"/>
        <v>Anithavukku Romba Thunichal  by Lakshmi</v>
      </c>
    </row>
    <row r="413" spans="1:18" hidden="1" x14ac:dyDescent="0.3">
      <c r="A413">
        <v>8820</v>
      </c>
      <c r="B413" t="s">
        <v>884</v>
      </c>
      <c r="C413" t="s">
        <v>872</v>
      </c>
      <c r="D413" t="s">
        <v>885</v>
      </c>
      <c r="E413" t="s">
        <v>13</v>
      </c>
      <c r="F413" t="s">
        <v>14</v>
      </c>
      <c r="G413">
        <v>660</v>
      </c>
      <c r="H413">
        <v>2</v>
      </c>
      <c r="I413" s="16">
        <f t="shared" si="63"/>
        <v>1320</v>
      </c>
      <c r="J413">
        <v>2</v>
      </c>
      <c r="K413">
        <f t="shared" si="64"/>
        <v>1320</v>
      </c>
      <c r="L413">
        <f t="shared" si="62"/>
        <v>0</v>
      </c>
      <c r="M413">
        <f t="shared" si="65"/>
        <v>0</v>
      </c>
      <c r="N413">
        <f t="shared" si="66"/>
        <v>0</v>
      </c>
      <c r="O413">
        <f t="shared" si="67"/>
        <v>0</v>
      </c>
    </row>
    <row r="414" spans="1:18" hidden="1" x14ac:dyDescent="0.3">
      <c r="A414">
        <v>8881</v>
      </c>
      <c r="B414" t="s">
        <v>886</v>
      </c>
      <c r="C414" t="s">
        <v>872</v>
      </c>
      <c r="D414" t="s">
        <v>887</v>
      </c>
      <c r="E414" t="s">
        <v>13</v>
      </c>
      <c r="F414" t="s">
        <v>14</v>
      </c>
      <c r="G414">
        <v>210</v>
      </c>
      <c r="H414">
        <v>2</v>
      </c>
      <c r="I414" s="16">
        <f t="shared" si="63"/>
        <v>420</v>
      </c>
      <c r="J414">
        <v>2</v>
      </c>
      <c r="K414">
        <f t="shared" si="64"/>
        <v>420</v>
      </c>
      <c r="L414">
        <f t="shared" si="62"/>
        <v>0</v>
      </c>
      <c r="M414">
        <f t="shared" si="65"/>
        <v>0</v>
      </c>
      <c r="N414">
        <f t="shared" si="66"/>
        <v>0</v>
      </c>
      <c r="O414">
        <f t="shared" si="67"/>
        <v>0</v>
      </c>
    </row>
    <row r="415" spans="1:18" hidden="1" x14ac:dyDescent="0.3">
      <c r="A415">
        <v>8826</v>
      </c>
      <c r="B415" t="s">
        <v>888</v>
      </c>
      <c r="C415" t="s">
        <v>872</v>
      </c>
      <c r="D415" t="s">
        <v>889</v>
      </c>
      <c r="E415" t="s">
        <v>13</v>
      </c>
      <c r="F415" t="s">
        <v>14</v>
      </c>
      <c r="G415">
        <v>110</v>
      </c>
      <c r="H415">
        <v>2</v>
      </c>
      <c r="I415" s="16">
        <f t="shared" si="63"/>
        <v>220</v>
      </c>
      <c r="J415">
        <v>2</v>
      </c>
      <c r="K415">
        <f t="shared" si="64"/>
        <v>220</v>
      </c>
      <c r="L415">
        <f t="shared" si="62"/>
        <v>0</v>
      </c>
      <c r="M415">
        <f t="shared" si="65"/>
        <v>0</v>
      </c>
      <c r="N415">
        <f t="shared" si="66"/>
        <v>0</v>
      </c>
      <c r="O415">
        <f t="shared" si="67"/>
        <v>0</v>
      </c>
    </row>
    <row r="416" spans="1:18" ht="18.3" x14ac:dyDescent="0.4">
      <c r="A416">
        <v>8772</v>
      </c>
      <c r="B416" t="s">
        <v>890</v>
      </c>
      <c r="C416" t="s">
        <v>872</v>
      </c>
      <c r="D416" t="s">
        <v>891</v>
      </c>
      <c r="E416" t="s">
        <v>13</v>
      </c>
      <c r="F416" t="s">
        <v>14</v>
      </c>
      <c r="G416">
        <v>110</v>
      </c>
      <c r="H416">
        <v>2</v>
      </c>
      <c r="I416" s="16">
        <f t="shared" si="63"/>
        <v>220</v>
      </c>
      <c r="J416">
        <v>1</v>
      </c>
      <c r="K416">
        <f t="shared" si="64"/>
        <v>110</v>
      </c>
      <c r="L416">
        <f t="shared" si="62"/>
        <v>1</v>
      </c>
      <c r="M416">
        <f t="shared" si="65"/>
        <v>110</v>
      </c>
      <c r="N416">
        <f t="shared" si="66"/>
        <v>27.5</v>
      </c>
      <c r="O416">
        <f t="shared" si="67"/>
        <v>82.5</v>
      </c>
      <c r="R416" s="21" t="str">
        <f>_xlfn.TEXTJOIN("  by ",TRUE,B415,C415)</f>
        <v>Athisaya Raagam  by Lakshmi</v>
      </c>
    </row>
    <row r="417" spans="1:18" hidden="1" x14ac:dyDescent="0.3">
      <c r="A417">
        <v>8828</v>
      </c>
      <c r="B417" t="s">
        <v>892</v>
      </c>
      <c r="C417" t="s">
        <v>872</v>
      </c>
      <c r="D417" t="s">
        <v>893</v>
      </c>
      <c r="E417" t="s">
        <v>13</v>
      </c>
      <c r="F417" t="s">
        <v>14</v>
      </c>
      <c r="G417">
        <v>320</v>
      </c>
      <c r="H417">
        <v>2</v>
      </c>
      <c r="I417" s="16">
        <f t="shared" si="63"/>
        <v>640</v>
      </c>
      <c r="J417">
        <v>2</v>
      </c>
      <c r="K417">
        <f t="shared" si="64"/>
        <v>640</v>
      </c>
      <c r="L417">
        <f t="shared" si="62"/>
        <v>0</v>
      </c>
      <c r="M417">
        <f t="shared" si="65"/>
        <v>0</v>
      </c>
      <c r="N417">
        <f t="shared" si="66"/>
        <v>0</v>
      </c>
      <c r="O417">
        <f t="shared" si="67"/>
        <v>0</v>
      </c>
    </row>
    <row r="418" spans="1:18" hidden="1" x14ac:dyDescent="0.3">
      <c r="A418">
        <v>8895</v>
      </c>
      <c r="B418" t="s">
        <v>894</v>
      </c>
      <c r="C418" t="s">
        <v>872</v>
      </c>
      <c r="D418" t="s">
        <v>895</v>
      </c>
      <c r="E418" t="s">
        <v>13</v>
      </c>
      <c r="F418" t="s">
        <v>14</v>
      </c>
      <c r="G418">
        <v>110</v>
      </c>
      <c r="H418">
        <v>2</v>
      </c>
      <c r="I418" s="16">
        <f t="shared" si="63"/>
        <v>220</v>
      </c>
      <c r="J418">
        <v>2</v>
      </c>
      <c r="K418">
        <f t="shared" si="64"/>
        <v>220</v>
      </c>
      <c r="L418">
        <f t="shared" si="62"/>
        <v>0</v>
      </c>
      <c r="M418">
        <f t="shared" si="65"/>
        <v>0</v>
      </c>
      <c r="N418">
        <f t="shared" si="66"/>
        <v>0</v>
      </c>
      <c r="O418">
        <f t="shared" si="67"/>
        <v>0</v>
      </c>
    </row>
    <row r="419" spans="1:18" ht="18.3" x14ac:dyDescent="0.4">
      <c r="A419">
        <v>8810</v>
      </c>
      <c r="B419" t="s">
        <v>896</v>
      </c>
      <c r="C419" t="s">
        <v>872</v>
      </c>
      <c r="D419" t="s">
        <v>897</v>
      </c>
      <c r="E419" t="s">
        <v>13</v>
      </c>
      <c r="F419" t="s">
        <v>14</v>
      </c>
      <c r="G419">
        <v>160</v>
      </c>
      <c r="H419">
        <v>2</v>
      </c>
      <c r="I419" s="16">
        <f t="shared" si="63"/>
        <v>320</v>
      </c>
      <c r="J419">
        <v>1</v>
      </c>
      <c r="K419">
        <f t="shared" si="64"/>
        <v>160</v>
      </c>
      <c r="L419">
        <f t="shared" si="62"/>
        <v>1</v>
      </c>
      <c r="M419">
        <f t="shared" si="65"/>
        <v>160</v>
      </c>
      <c r="N419">
        <f t="shared" si="66"/>
        <v>40</v>
      </c>
      <c r="O419">
        <f t="shared" si="67"/>
        <v>120</v>
      </c>
      <c r="R419" s="21" t="str">
        <f>_xlfn.TEXTJOIN("  by ",TRUE,B418,C418)</f>
        <v>Azhagin Aarathanai  by Lakshmi</v>
      </c>
    </row>
    <row r="420" spans="1:18" hidden="1" x14ac:dyDescent="0.3">
      <c r="A420">
        <v>11012</v>
      </c>
      <c r="B420" t="s">
        <v>898</v>
      </c>
      <c r="C420" t="s">
        <v>872</v>
      </c>
      <c r="D420" t="s">
        <v>899</v>
      </c>
      <c r="E420" t="s">
        <v>13</v>
      </c>
      <c r="F420" t="s">
        <v>14</v>
      </c>
      <c r="G420">
        <v>240</v>
      </c>
      <c r="H420">
        <v>2</v>
      </c>
      <c r="I420" s="16">
        <f t="shared" si="63"/>
        <v>480</v>
      </c>
      <c r="J420">
        <v>2</v>
      </c>
      <c r="K420">
        <f t="shared" si="64"/>
        <v>480</v>
      </c>
      <c r="L420">
        <f t="shared" ref="L420:L483" si="71">H420-J420</f>
        <v>0</v>
      </c>
      <c r="M420">
        <f t="shared" si="65"/>
        <v>0</v>
      </c>
      <c r="N420">
        <f t="shared" si="66"/>
        <v>0</v>
      </c>
      <c r="O420">
        <f t="shared" si="67"/>
        <v>0</v>
      </c>
    </row>
    <row r="421" spans="1:18" hidden="1" x14ac:dyDescent="0.3">
      <c r="A421">
        <v>11009</v>
      </c>
      <c r="B421" t="s">
        <v>900</v>
      </c>
      <c r="C421" t="s">
        <v>872</v>
      </c>
      <c r="D421" t="s">
        <v>901</v>
      </c>
      <c r="E421" t="s">
        <v>13</v>
      </c>
      <c r="F421" t="s">
        <v>14</v>
      </c>
      <c r="G421">
        <v>80</v>
      </c>
      <c r="H421">
        <v>2</v>
      </c>
      <c r="I421" s="16">
        <f t="shared" si="63"/>
        <v>160</v>
      </c>
      <c r="J421">
        <v>2</v>
      </c>
      <c r="K421">
        <f t="shared" si="64"/>
        <v>160</v>
      </c>
      <c r="L421">
        <f t="shared" si="71"/>
        <v>0</v>
      </c>
      <c r="M421">
        <f t="shared" si="65"/>
        <v>0</v>
      </c>
      <c r="N421">
        <f t="shared" si="66"/>
        <v>0</v>
      </c>
      <c r="O421">
        <f t="shared" si="67"/>
        <v>0</v>
      </c>
    </row>
    <row r="422" spans="1:18" hidden="1" x14ac:dyDescent="0.3">
      <c r="A422">
        <v>8808</v>
      </c>
      <c r="B422" t="s">
        <v>902</v>
      </c>
      <c r="C422" t="s">
        <v>872</v>
      </c>
      <c r="D422" t="s">
        <v>903</v>
      </c>
      <c r="E422" t="s">
        <v>13</v>
      </c>
      <c r="F422" t="s">
        <v>14</v>
      </c>
      <c r="G422">
        <v>150</v>
      </c>
      <c r="H422">
        <v>2</v>
      </c>
      <c r="I422" s="16">
        <f t="shared" si="63"/>
        <v>300</v>
      </c>
      <c r="J422">
        <v>2</v>
      </c>
      <c r="K422">
        <f t="shared" si="64"/>
        <v>300</v>
      </c>
      <c r="L422">
        <f t="shared" si="71"/>
        <v>0</v>
      </c>
      <c r="M422">
        <f t="shared" si="65"/>
        <v>0</v>
      </c>
      <c r="N422">
        <f t="shared" si="66"/>
        <v>0</v>
      </c>
      <c r="O422">
        <f t="shared" si="67"/>
        <v>0</v>
      </c>
    </row>
    <row r="423" spans="1:18" hidden="1" x14ac:dyDescent="0.3">
      <c r="A423">
        <v>8814</v>
      </c>
      <c r="B423" t="s">
        <v>904</v>
      </c>
      <c r="C423" t="s">
        <v>872</v>
      </c>
      <c r="D423" t="s">
        <v>905</v>
      </c>
      <c r="E423" t="s">
        <v>13</v>
      </c>
      <c r="F423" t="s">
        <v>14</v>
      </c>
      <c r="G423">
        <v>120</v>
      </c>
      <c r="H423">
        <v>2</v>
      </c>
      <c r="I423" s="16">
        <f t="shared" si="63"/>
        <v>240</v>
      </c>
      <c r="J423">
        <v>2</v>
      </c>
      <c r="K423">
        <f t="shared" si="64"/>
        <v>240</v>
      </c>
      <c r="L423">
        <f t="shared" si="71"/>
        <v>0</v>
      </c>
      <c r="M423">
        <f t="shared" si="65"/>
        <v>0</v>
      </c>
      <c r="N423">
        <f t="shared" si="66"/>
        <v>0</v>
      </c>
      <c r="O423">
        <f t="shared" si="67"/>
        <v>0</v>
      </c>
    </row>
    <row r="424" spans="1:18" ht="18.3" x14ac:dyDescent="0.4">
      <c r="A424">
        <v>8615</v>
      </c>
      <c r="B424" t="s">
        <v>906</v>
      </c>
      <c r="C424" t="s">
        <v>872</v>
      </c>
      <c r="D424" t="s">
        <v>907</v>
      </c>
      <c r="E424" t="s">
        <v>13</v>
      </c>
      <c r="F424" t="s">
        <v>14</v>
      </c>
      <c r="G424">
        <v>100</v>
      </c>
      <c r="H424">
        <v>2</v>
      </c>
      <c r="I424" s="16">
        <f t="shared" si="63"/>
        <v>200</v>
      </c>
      <c r="J424">
        <v>1</v>
      </c>
      <c r="K424">
        <f t="shared" si="64"/>
        <v>100</v>
      </c>
      <c r="L424">
        <f t="shared" si="71"/>
        <v>1</v>
      </c>
      <c r="M424">
        <f t="shared" si="65"/>
        <v>100</v>
      </c>
      <c r="N424">
        <f t="shared" si="66"/>
        <v>25</v>
      </c>
      <c r="O424">
        <f t="shared" si="67"/>
        <v>75</v>
      </c>
      <c r="R424" s="21" t="str">
        <f t="shared" ref="R424:R425" si="72">_xlfn.TEXTJOIN("  by ",TRUE,B423,C423)</f>
        <v>En Veedu  by Lakshmi</v>
      </c>
    </row>
    <row r="425" spans="1:18" ht="18.3" x14ac:dyDescent="0.4">
      <c r="A425">
        <v>8823</v>
      </c>
      <c r="B425" t="s">
        <v>908</v>
      </c>
      <c r="C425" t="s">
        <v>872</v>
      </c>
      <c r="D425" t="s">
        <v>909</v>
      </c>
      <c r="E425" t="s">
        <v>13</v>
      </c>
      <c r="F425" t="s">
        <v>14</v>
      </c>
      <c r="G425">
        <v>440</v>
      </c>
      <c r="H425">
        <v>2</v>
      </c>
      <c r="I425" s="16">
        <f t="shared" si="63"/>
        <v>880</v>
      </c>
      <c r="J425">
        <v>0</v>
      </c>
      <c r="K425">
        <f t="shared" si="64"/>
        <v>0</v>
      </c>
      <c r="L425">
        <f t="shared" si="71"/>
        <v>2</v>
      </c>
      <c r="M425">
        <f t="shared" si="65"/>
        <v>880</v>
      </c>
      <c r="N425">
        <f t="shared" si="66"/>
        <v>220</v>
      </c>
      <c r="O425">
        <f t="shared" si="67"/>
        <v>660</v>
      </c>
      <c r="R425" s="21" t="str">
        <f t="shared" si="72"/>
        <v>Engey Aval  by Lakshmi</v>
      </c>
    </row>
    <row r="426" spans="1:18" hidden="1" x14ac:dyDescent="0.3">
      <c r="A426">
        <v>10938</v>
      </c>
      <c r="B426" t="s">
        <v>910</v>
      </c>
      <c r="C426" t="s">
        <v>872</v>
      </c>
      <c r="D426" t="s">
        <v>911</v>
      </c>
      <c r="E426" t="s">
        <v>13</v>
      </c>
      <c r="F426" t="s">
        <v>14</v>
      </c>
      <c r="G426">
        <v>290</v>
      </c>
      <c r="H426">
        <v>2</v>
      </c>
      <c r="I426" s="16">
        <f t="shared" si="63"/>
        <v>580</v>
      </c>
      <c r="J426">
        <v>2</v>
      </c>
      <c r="K426">
        <f t="shared" si="64"/>
        <v>580</v>
      </c>
      <c r="L426">
        <f t="shared" si="71"/>
        <v>0</v>
      </c>
      <c r="M426">
        <f t="shared" si="65"/>
        <v>0</v>
      </c>
      <c r="N426">
        <f t="shared" si="66"/>
        <v>0</v>
      </c>
      <c r="O426">
        <f t="shared" si="67"/>
        <v>0</v>
      </c>
    </row>
    <row r="427" spans="1:18" hidden="1" x14ac:dyDescent="0.3">
      <c r="A427">
        <v>8542</v>
      </c>
      <c r="B427" t="s">
        <v>912</v>
      </c>
      <c r="C427" t="s">
        <v>872</v>
      </c>
      <c r="D427" t="s">
        <v>913</v>
      </c>
      <c r="E427" t="s">
        <v>13</v>
      </c>
      <c r="F427" t="s">
        <v>14</v>
      </c>
      <c r="G427">
        <v>100</v>
      </c>
      <c r="H427">
        <v>2</v>
      </c>
      <c r="I427" s="16">
        <f t="shared" si="63"/>
        <v>200</v>
      </c>
      <c r="J427">
        <v>2</v>
      </c>
      <c r="K427">
        <f t="shared" si="64"/>
        <v>200</v>
      </c>
      <c r="L427">
        <f t="shared" si="71"/>
        <v>0</v>
      </c>
      <c r="M427">
        <f t="shared" si="65"/>
        <v>0</v>
      </c>
      <c r="N427">
        <f t="shared" si="66"/>
        <v>0</v>
      </c>
      <c r="O427">
        <f t="shared" si="67"/>
        <v>0</v>
      </c>
    </row>
    <row r="428" spans="1:18" hidden="1" x14ac:dyDescent="0.3">
      <c r="A428">
        <v>8612</v>
      </c>
      <c r="B428" t="s">
        <v>914</v>
      </c>
      <c r="C428" t="s">
        <v>872</v>
      </c>
      <c r="D428" t="s">
        <v>915</v>
      </c>
      <c r="E428" t="s">
        <v>13</v>
      </c>
      <c r="F428" t="s">
        <v>14</v>
      </c>
      <c r="G428">
        <v>100</v>
      </c>
      <c r="H428">
        <v>2</v>
      </c>
      <c r="I428" s="16">
        <f t="shared" si="63"/>
        <v>200</v>
      </c>
      <c r="J428">
        <v>2</v>
      </c>
      <c r="K428">
        <f t="shared" si="64"/>
        <v>200</v>
      </c>
      <c r="L428">
        <f t="shared" si="71"/>
        <v>0</v>
      </c>
      <c r="M428">
        <f t="shared" si="65"/>
        <v>0</v>
      </c>
      <c r="N428">
        <f t="shared" si="66"/>
        <v>0</v>
      </c>
      <c r="O428">
        <f t="shared" si="67"/>
        <v>0</v>
      </c>
    </row>
    <row r="429" spans="1:18" hidden="1" x14ac:dyDescent="0.3">
      <c r="A429">
        <v>8804</v>
      </c>
      <c r="B429" t="s">
        <v>916</v>
      </c>
      <c r="C429" t="s">
        <v>872</v>
      </c>
      <c r="D429" t="s">
        <v>917</v>
      </c>
      <c r="E429" t="s">
        <v>13</v>
      </c>
      <c r="F429" t="s">
        <v>14</v>
      </c>
      <c r="G429">
        <v>450</v>
      </c>
      <c r="H429">
        <v>2</v>
      </c>
      <c r="I429" s="16">
        <f t="shared" si="63"/>
        <v>900</v>
      </c>
      <c r="J429">
        <v>2</v>
      </c>
      <c r="K429">
        <f t="shared" si="64"/>
        <v>900</v>
      </c>
      <c r="L429">
        <f t="shared" si="71"/>
        <v>0</v>
      </c>
      <c r="M429">
        <f t="shared" si="65"/>
        <v>0</v>
      </c>
      <c r="N429">
        <f t="shared" si="66"/>
        <v>0</v>
      </c>
      <c r="O429">
        <f t="shared" si="67"/>
        <v>0</v>
      </c>
    </row>
    <row r="430" spans="1:18" ht="18.3" x14ac:dyDescent="0.4">
      <c r="A430">
        <v>8802</v>
      </c>
      <c r="B430" t="s">
        <v>918</v>
      </c>
      <c r="C430" t="s">
        <v>872</v>
      </c>
      <c r="D430" t="s">
        <v>919</v>
      </c>
      <c r="E430" t="s">
        <v>13</v>
      </c>
      <c r="F430" t="s">
        <v>14</v>
      </c>
      <c r="G430">
        <v>150</v>
      </c>
      <c r="H430">
        <v>2</v>
      </c>
      <c r="I430" s="16">
        <f t="shared" si="63"/>
        <v>300</v>
      </c>
      <c r="J430">
        <v>1</v>
      </c>
      <c r="K430">
        <f t="shared" si="64"/>
        <v>150</v>
      </c>
      <c r="L430">
        <f t="shared" si="71"/>
        <v>1</v>
      </c>
      <c r="M430">
        <f t="shared" si="65"/>
        <v>150</v>
      </c>
      <c r="N430">
        <f t="shared" si="66"/>
        <v>37.5</v>
      </c>
      <c r="O430">
        <f t="shared" si="67"/>
        <v>112.5</v>
      </c>
      <c r="R430" s="21" t="str">
        <f>_xlfn.TEXTJOIN("  by ",TRUE,B429,C429)</f>
        <v>Irandavathu Malar  by Lakshmi</v>
      </c>
    </row>
    <row r="431" spans="1:18" hidden="1" x14ac:dyDescent="0.3">
      <c r="A431">
        <v>8799</v>
      </c>
      <c r="B431" t="s">
        <v>920</v>
      </c>
      <c r="C431" t="s">
        <v>872</v>
      </c>
      <c r="D431" t="s">
        <v>921</v>
      </c>
      <c r="E431" t="s">
        <v>13</v>
      </c>
      <c r="F431" t="s">
        <v>14</v>
      </c>
      <c r="G431">
        <v>120</v>
      </c>
      <c r="H431">
        <v>2</v>
      </c>
      <c r="I431" s="16">
        <f t="shared" si="63"/>
        <v>240</v>
      </c>
      <c r="J431">
        <v>2</v>
      </c>
      <c r="K431">
        <f t="shared" si="64"/>
        <v>240</v>
      </c>
      <c r="L431">
        <f t="shared" si="71"/>
        <v>0</v>
      </c>
      <c r="M431">
        <f t="shared" si="65"/>
        <v>0</v>
      </c>
      <c r="N431">
        <f t="shared" si="66"/>
        <v>0</v>
      </c>
      <c r="O431">
        <f t="shared" si="67"/>
        <v>0</v>
      </c>
    </row>
    <row r="432" spans="1:18" ht="18.3" x14ac:dyDescent="0.4">
      <c r="A432">
        <v>8541</v>
      </c>
      <c r="B432" t="s">
        <v>922</v>
      </c>
      <c r="C432" t="s">
        <v>872</v>
      </c>
      <c r="D432" t="s">
        <v>923</v>
      </c>
      <c r="E432" t="s">
        <v>13</v>
      </c>
      <c r="F432" t="s">
        <v>14</v>
      </c>
      <c r="G432">
        <v>150</v>
      </c>
      <c r="H432">
        <v>2</v>
      </c>
      <c r="I432" s="16">
        <f t="shared" si="63"/>
        <v>300</v>
      </c>
      <c r="J432">
        <v>1</v>
      </c>
      <c r="K432">
        <f t="shared" si="64"/>
        <v>150</v>
      </c>
      <c r="L432">
        <f t="shared" si="71"/>
        <v>1</v>
      </c>
      <c r="M432">
        <f t="shared" si="65"/>
        <v>150</v>
      </c>
      <c r="N432">
        <f t="shared" si="66"/>
        <v>37.5</v>
      </c>
      <c r="O432">
        <f t="shared" si="67"/>
        <v>112.5</v>
      </c>
      <c r="R432" s="21" t="str">
        <f>_xlfn.TEXTJOIN("  by ",TRUE,B431,C431)</f>
        <v>Irulil Tholaintha Unmai  by Lakshmi</v>
      </c>
    </row>
    <row r="433" spans="1:18" hidden="1" x14ac:dyDescent="0.3">
      <c r="A433">
        <v>8611</v>
      </c>
      <c r="B433" t="s">
        <v>924</v>
      </c>
      <c r="C433" t="s">
        <v>872</v>
      </c>
      <c r="D433" t="s">
        <v>925</v>
      </c>
      <c r="E433" t="s">
        <v>13</v>
      </c>
      <c r="F433" t="s">
        <v>14</v>
      </c>
      <c r="G433">
        <v>150</v>
      </c>
      <c r="H433">
        <v>2</v>
      </c>
      <c r="I433" s="16">
        <f t="shared" si="63"/>
        <v>300</v>
      </c>
      <c r="J433">
        <v>2</v>
      </c>
      <c r="K433">
        <f t="shared" si="64"/>
        <v>300</v>
      </c>
      <c r="L433">
        <f t="shared" si="71"/>
        <v>0</v>
      </c>
      <c r="M433">
        <f t="shared" si="65"/>
        <v>0</v>
      </c>
      <c r="N433">
        <f t="shared" si="66"/>
        <v>0</v>
      </c>
      <c r="O433">
        <f t="shared" si="67"/>
        <v>0</v>
      </c>
    </row>
    <row r="434" spans="1:18" hidden="1" x14ac:dyDescent="0.3">
      <c r="A434">
        <v>10860</v>
      </c>
      <c r="B434" t="s">
        <v>926</v>
      </c>
      <c r="C434" t="s">
        <v>872</v>
      </c>
      <c r="D434" t="s">
        <v>927</v>
      </c>
      <c r="E434" t="s">
        <v>13</v>
      </c>
      <c r="F434" t="s">
        <v>14</v>
      </c>
      <c r="G434">
        <v>130</v>
      </c>
      <c r="H434">
        <v>2</v>
      </c>
      <c r="I434" s="16">
        <f t="shared" si="63"/>
        <v>260</v>
      </c>
      <c r="J434">
        <v>2</v>
      </c>
      <c r="K434">
        <f t="shared" si="64"/>
        <v>260</v>
      </c>
      <c r="L434">
        <f t="shared" si="71"/>
        <v>0</v>
      </c>
      <c r="M434">
        <f t="shared" si="65"/>
        <v>0</v>
      </c>
      <c r="N434">
        <f t="shared" si="66"/>
        <v>0</v>
      </c>
      <c r="O434">
        <f t="shared" si="67"/>
        <v>0</v>
      </c>
    </row>
    <row r="435" spans="1:18" hidden="1" x14ac:dyDescent="0.3">
      <c r="A435">
        <v>11020</v>
      </c>
      <c r="B435" t="s">
        <v>928</v>
      </c>
      <c r="C435" t="s">
        <v>872</v>
      </c>
      <c r="D435" t="s">
        <v>929</v>
      </c>
      <c r="E435" t="s">
        <v>13</v>
      </c>
      <c r="F435" t="s">
        <v>14</v>
      </c>
      <c r="G435">
        <v>170</v>
      </c>
      <c r="H435">
        <v>2</v>
      </c>
      <c r="I435" s="16">
        <f t="shared" si="63"/>
        <v>340</v>
      </c>
      <c r="J435">
        <v>2</v>
      </c>
      <c r="K435">
        <f t="shared" si="64"/>
        <v>340</v>
      </c>
      <c r="L435">
        <f t="shared" si="71"/>
        <v>0</v>
      </c>
      <c r="M435">
        <f t="shared" si="65"/>
        <v>0</v>
      </c>
      <c r="N435">
        <f t="shared" si="66"/>
        <v>0</v>
      </c>
      <c r="O435">
        <f t="shared" si="67"/>
        <v>0</v>
      </c>
    </row>
    <row r="436" spans="1:18" hidden="1" x14ac:dyDescent="0.3">
      <c r="A436">
        <v>11005</v>
      </c>
      <c r="B436" t="s">
        <v>930</v>
      </c>
      <c r="C436" t="s">
        <v>872</v>
      </c>
      <c r="D436" t="s">
        <v>931</v>
      </c>
      <c r="E436" t="s">
        <v>13</v>
      </c>
      <c r="F436" t="s">
        <v>14</v>
      </c>
      <c r="G436">
        <v>230</v>
      </c>
      <c r="H436">
        <v>2</v>
      </c>
      <c r="I436" s="16">
        <f t="shared" si="63"/>
        <v>460</v>
      </c>
      <c r="J436">
        <v>2</v>
      </c>
      <c r="K436">
        <f t="shared" si="64"/>
        <v>460</v>
      </c>
      <c r="L436">
        <f t="shared" si="71"/>
        <v>0</v>
      </c>
      <c r="M436">
        <f t="shared" si="65"/>
        <v>0</v>
      </c>
      <c r="N436">
        <f t="shared" si="66"/>
        <v>0</v>
      </c>
      <c r="O436">
        <f t="shared" si="67"/>
        <v>0</v>
      </c>
    </row>
    <row r="437" spans="1:18" hidden="1" x14ac:dyDescent="0.3">
      <c r="A437">
        <v>8769</v>
      </c>
      <c r="B437" t="s">
        <v>932</v>
      </c>
      <c r="C437" t="s">
        <v>872</v>
      </c>
      <c r="D437" t="s">
        <v>933</v>
      </c>
      <c r="E437" t="s">
        <v>13</v>
      </c>
      <c r="F437" t="s">
        <v>14</v>
      </c>
      <c r="G437">
        <v>160</v>
      </c>
      <c r="H437">
        <v>2</v>
      </c>
      <c r="I437" s="16">
        <f t="shared" si="63"/>
        <v>320</v>
      </c>
      <c r="J437">
        <v>2</v>
      </c>
      <c r="K437">
        <f t="shared" si="64"/>
        <v>320</v>
      </c>
      <c r="L437">
        <f t="shared" si="71"/>
        <v>0</v>
      </c>
      <c r="M437">
        <f t="shared" si="65"/>
        <v>0</v>
      </c>
      <c r="N437">
        <f t="shared" si="66"/>
        <v>0</v>
      </c>
      <c r="O437">
        <f t="shared" si="67"/>
        <v>0</v>
      </c>
    </row>
    <row r="438" spans="1:18" ht="18.3" x14ac:dyDescent="0.4">
      <c r="A438">
        <v>7325</v>
      </c>
      <c r="B438" t="s">
        <v>934</v>
      </c>
      <c r="C438" t="s">
        <v>872</v>
      </c>
      <c r="D438" t="s">
        <v>935</v>
      </c>
      <c r="E438" t="s">
        <v>13</v>
      </c>
      <c r="F438" t="s">
        <v>14</v>
      </c>
      <c r="G438">
        <v>400</v>
      </c>
      <c r="H438">
        <v>2</v>
      </c>
      <c r="I438" s="16">
        <f t="shared" si="63"/>
        <v>800</v>
      </c>
      <c r="J438">
        <v>1</v>
      </c>
      <c r="K438">
        <f t="shared" si="64"/>
        <v>400</v>
      </c>
      <c r="L438">
        <f t="shared" si="71"/>
        <v>1</v>
      </c>
      <c r="M438">
        <f t="shared" si="65"/>
        <v>400</v>
      </c>
      <c r="N438">
        <f t="shared" si="66"/>
        <v>100</v>
      </c>
      <c r="O438">
        <f t="shared" si="67"/>
        <v>300</v>
      </c>
      <c r="R438" s="21" t="str">
        <f>_xlfn.TEXTJOIN("  by ",TRUE,B437,C437)</f>
        <v>Kaaliyin Kanngal  by Lakshmi</v>
      </c>
    </row>
    <row r="439" spans="1:18" hidden="1" x14ac:dyDescent="0.3">
      <c r="A439">
        <v>8782</v>
      </c>
      <c r="B439" t="s">
        <v>936</v>
      </c>
      <c r="C439" t="s">
        <v>872</v>
      </c>
      <c r="D439" t="s">
        <v>937</v>
      </c>
      <c r="E439" t="s">
        <v>13</v>
      </c>
      <c r="F439" t="s">
        <v>14</v>
      </c>
      <c r="G439">
        <v>110</v>
      </c>
      <c r="H439">
        <v>2</v>
      </c>
      <c r="I439" s="16">
        <f t="shared" si="63"/>
        <v>220</v>
      </c>
      <c r="J439">
        <v>2</v>
      </c>
      <c r="K439">
        <f t="shared" si="64"/>
        <v>220</v>
      </c>
      <c r="L439">
        <f t="shared" si="71"/>
        <v>0</v>
      </c>
      <c r="M439">
        <f t="shared" si="65"/>
        <v>0</v>
      </c>
      <c r="N439">
        <f t="shared" si="66"/>
        <v>0</v>
      </c>
      <c r="O439">
        <f t="shared" si="67"/>
        <v>0</v>
      </c>
    </row>
    <row r="440" spans="1:18" hidden="1" x14ac:dyDescent="0.3">
      <c r="A440">
        <v>11013</v>
      </c>
      <c r="B440" t="s">
        <v>938</v>
      </c>
      <c r="C440" t="s">
        <v>872</v>
      </c>
      <c r="D440" t="s">
        <v>939</v>
      </c>
      <c r="E440" t="s">
        <v>13</v>
      </c>
      <c r="F440" t="s">
        <v>14</v>
      </c>
      <c r="G440">
        <v>90</v>
      </c>
      <c r="H440">
        <v>2</v>
      </c>
      <c r="I440" s="16">
        <f t="shared" si="63"/>
        <v>180</v>
      </c>
      <c r="J440">
        <v>2</v>
      </c>
      <c r="K440">
        <f t="shared" si="64"/>
        <v>180</v>
      </c>
      <c r="L440">
        <f t="shared" si="71"/>
        <v>0</v>
      </c>
      <c r="M440">
        <f t="shared" si="65"/>
        <v>0</v>
      </c>
      <c r="N440">
        <f t="shared" si="66"/>
        <v>0</v>
      </c>
      <c r="O440">
        <f t="shared" si="67"/>
        <v>0</v>
      </c>
    </row>
    <row r="441" spans="1:18" hidden="1" x14ac:dyDescent="0.3">
      <c r="A441">
        <v>8771</v>
      </c>
      <c r="B441" t="s">
        <v>940</v>
      </c>
      <c r="C441" t="s">
        <v>872</v>
      </c>
      <c r="D441" t="s">
        <v>941</v>
      </c>
      <c r="E441" t="s">
        <v>13</v>
      </c>
      <c r="F441" t="s">
        <v>14</v>
      </c>
      <c r="G441">
        <v>320</v>
      </c>
      <c r="H441">
        <v>2</v>
      </c>
      <c r="I441" s="16">
        <f t="shared" si="63"/>
        <v>640</v>
      </c>
      <c r="J441">
        <v>2</v>
      </c>
      <c r="K441">
        <f t="shared" si="64"/>
        <v>640</v>
      </c>
      <c r="L441">
        <f t="shared" si="71"/>
        <v>0</v>
      </c>
      <c r="M441">
        <f t="shared" si="65"/>
        <v>0</v>
      </c>
      <c r="N441">
        <f t="shared" si="66"/>
        <v>0</v>
      </c>
      <c r="O441">
        <f t="shared" si="67"/>
        <v>0</v>
      </c>
    </row>
    <row r="442" spans="1:18" ht="18.3" x14ac:dyDescent="0.4">
      <c r="A442">
        <v>8770</v>
      </c>
      <c r="B442" t="s">
        <v>942</v>
      </c>
      <c r="C442" t="s">
        <v>872</v>
      </c>
      <c r="D442" t="s">
        <v>943</v>
      </c>
      <c r="E442" t="s">
        <v>13</v>
      </c>
      <c r="F442" t="s">
        <v>14</v>
      </c>
      <c r="G442">
        <v>160</v>
      </c>
      <c r="H442">
        <v>2</v>
      </c>
      <c r="I442" s="16">
        <f t="shared" si="63"/>
        <v>320</v>
      </c>
      <c r="J442">
        <v>1</v>
      </c>
      <c r="K442">
        <f t="shared" si="64"/>
        <v>160</v>
      </c>
      <c r="L442">
        <f t="shared" si="71"/>
        <v>1</v>
      </c>
      <c r="M442">
        <f t="shared" si="65"/>
        <v>160</v>
      </c>
      <c r="N442">
        <f t="shared" si="66"/>
        <v>40</v>
      </c>
      <c r="O442">
        <f t="shared" si="67"/>
        <v>120</v>
      </c>
      <c r="R442" s="21" t="str">
        <f t="shared" ref="R442:R443" si="73">_xlfn.TEXTJOIN("  by ",TRUE,B441,C441)</f>
        <v>Kanavan Amaivathellam  by Lakshmi</v>
      </c>
    </row>
    <row r="443" spans="1:18" ht="18.3" x14ac:dyDescent="0.4">
      <c r="A443">
        <v>11015</v>
      </c>
      <c r="B443" t="s">
        <v>944</v>
      </c>
      <c r="C443" t="s">
        <v>872</v>
      </c>
      <c r="D443" t="s">
        <v>945</v>
      </c>
      <c r="E443" t="s">
        <v>13</v>
      </c>
      <c r="F443" t="s">
        <v>14</v>
      </c>
      <c r="G443">
        <v>320</v>
      </c>
      <c r="H443">
        <v>2</v>
      </c>
      <c r="I443" s="16">
        <f t="shared" si="63"/>
        <v>640</v>
      </c>
      <c r="J443">
        <v>0</v>
      </c>
      <c r="K443">
        <f t="shared" si="64"/>
        <v>0</v>
      </c>
      <c r="L443">
        <f t="shared" si="71"/>
        <v>2</v>
      </c>
      <c r="M443">
        <f t="shared" si="65"/>
        <v>640</v>
      </c>
      <c r="N443">
        <f t="shared" si="66"/>
        <v>160</v>
      </c>
      <c r="O443">
        <f t="shared" si="67"/>
        <v>480</v>
      </c>
      <c r="R443" s="21" t="str">
        <f t="shared" si="73"/>
        <v>Kashmir Kathi  by Lakshmi</v>
      </c>
    </row>
    <row r="444" spans="1:18" hidden="1" x14ac:dyDescent="0.3">
      <c r="A444">
        <v>8811</v>
      </c>
      <c r="B444" t="s">
        <v>946</v>
      </c>
      <c r="C444" t="s">
        <v>872</v>
      </c>
      <c r="D444" t="s">
        <v>947</v>
      </c>
      <c r="E444" t="s">
        <v>13</v>
      </c>
      <c r="F444" t="s">
        <v>14</v>
      </c>
      <c r="G444">
        <v>210</v>
      </c>
      <c r="H444">
        <v>2</v>
      </c>
      <c r="I444" s="16">
        <f t="shared" si="63"/>
        <v>420</v>
      </c>
      <c r="J444">
        <v>2</v>
      </c>
      <c r="K444">
        <f t="shared" si="64"/>
        <v>420</v>
      </c>
      <c r="L444">
        <f t="shared" si="71"/>
        <v>0</v>
      </c>
      <c r="M444">
        <f t="shared" si="65"/>
        <v>0</v>
      </c>
      <c r="N444">
        <f t="shared" si="66"/>
        <v>0</v>
      </c>
      <c r="O444">
        <f t="shared" si="67"/>
        <v>0</v>
      </c>
    </row>
    <row r="445" spans="1:18" hidden="1" x14ac:dyDescent="0.3">
      <c r="A445">
        <v>10939</v>
      </c>
      <c r="B445" t="s">
        <v>948</v>
      </c>
      <c r="C445" t="s">
        <v>872</v>
      </c>
      <c r="D445" t="s">
        <v>949</v>
      </c>
      <c r="E445" t="s">
        <v>13</v>
      </c>
      <c r="F445" t="s">
        <v>14</v>
      </c>
      <c r="G445">
        <v>200</v>
      </c>
      <c r="H445">
        <v>2</v>
      </c>
      <c r="I445" s="16">
        <f t="shared" si="63"/>
        <v>400</v>
      </c>
      <c r="J445">
        <v>2</v>
      </c>
      <c r="K445">
        <f t="shared" si="64"/>
        <v>400</v>
      </c>
      <c r="L445">
        <f t="shared" si="71"/>
        <v>0</v>
      </c>
      <c r="M445">
        <f t="shared" si="65"/>
        <v>0</v>
      </c>
      <c r="N445">
        <f t="shared" si="66"/>
        <v>0</v>
      </c>
      <c r="O445">
        <f t="shared" si="67"/>
        <v>0</v>
      </c>
    </row>
    <row r="446" spans="1:18" hidden="1" x14ac:dyDescent="0.3">
      <c r="A446">
        <v>8798</v>
      </c>
      <c r="B446" t="s">
        <v>950</v>
      </c>
      <c r="C446" t="s">
        <v>872</v>
      </c>
      <c r="D446" t="s">
        <v>951</v>
      </c>
      <c r="E446" t="s">
        <v>13</v>
      </c>
      <c r="F446" t="s">
        <v>14</v>
      </c>
      <c r="G446">
        <v>140</v>
      </c>
      <c r="H446">
        <v>2</v>
      </c>
      <c r="I446" s="16">
        <f t="shared" si="63"/>
        <v>280</v>
      </c>
      <c r="J446">
        <v>2</v>
      </c>
      <c r="K446">
        <f t="shared" si="64"/>
        <v>280</v>
      </c>
      <c r="L446">
        <f t="shared" si="71"/>
        <v>0</v>
      </c>
      <c r="M446">
        <f t="shared" si="65"/>
        <v>0</v>
      </c>
      <c r="N446">
        <f t="shared" si="66"/>
        <v>0</v>
      </c>
      <c r="O446">
        <f t="shared" si="67"/>
        <v>0</v>
      </c>
    </row>
    <row r="447" spans="1:18" hidden="1" x14ac:dyDescent="0.3">
      <c r="A447">
        <v>8768</v>
      </c>
      <c r="B447" t="s">
        <v>952</v>
      </c>
      <c r="C447" t="s">
        <v>872</v>
      </c>
      <c r="D447" t="s">
        <v>953</v>
      </c>
      <c r="E447" t="s">
        <v>13</v>
      </c>
      <c r="F447" t="s">
        <v>14</v>
      </c>
      <c r="G447">
        <v>100</v>
      </c>
      <c r="H447">
        <v>2</v>
      </c>
      <c r="I447" s="16">
        <f t="shared" si="63"/>
        <v>200</v>
      </c>
      <c r="J447">
        <v>2</v>
      </c>
      <c r="K447">
        <f t="shared" si="64"/>
        <v>200</v>
      </c>
      <c r="L447">
        <f t="shared" si="71"/>
        <v>0</v>
      </c>
      <c r="M447">
        <f t="shared" si="65"/>
        <v>0</v>
      </c>
      <c r="N447">
        <f t="shared" si="66"/>
        <v>0</v>
      </c>
      <c r="O447">
        <f t="shared" si="67"/>
        <v>0</v>
      </c>
    </row>
    <row r="448" spans="1:18" ht="18.3" x14ac:dyDescent="0.4">
      <c r="A448">
        <v>10937</v>
      </c>
      <c r="B448" t="s">
        <v>954</v>
      </c>
      <c r="C448" t="s">
        <v>872</v>
      </c>
      <c r="D448" t="s">
        <v>955</v>
      </c>
      <c r="E448" t="s">
        <v>13</v>
      </c>
      <c r="F448" t="s">
        <v>14</v>
      </c>
      <c r="G448">
        <v>90</v>
      </c>
      <c r="H448">
        <v>2</v>
      </c>
      <c r="I448" s="16">
        <f t="shared" si="63"/>
        <v>180</v>
      </c>
      <c r="J448">
        <v>1</v>
      </c>
      <c r="K448">
        <f t="shared" si="64"/>
        <v>90</v>
      </c>
      <c r="L448">
        <f t="shared" si="71"/>
        <v>1</v>
      </c>
      <c r="M448">
        <f t="shared" si="65"/>
        <v>90</v>
      </c>
      <c r="N448">
        <f t="shared" si="66"/>
        <v>22.5</v>
      </c>
      <c r="O448">
        <f t="shared" si="67"/>
        <v>67.5</v>
      </c>
      <c r="R448" s="21" t="str">
        <f t="shared" ref="R448:R449" si="74">_xlfn.TEXTJOIN("  by ",TRUE,B447,C447)</f>
        <v>Kooramal Sanyasam  by Lakshmi</v>
      </c>
    </row>
    <row r="449" spans="1:18" ht="18.3" x14ac:dyDescent="0.4">
      <c r="A449">
        <v>10941</v>
      </c>
      <c r="B449" t="s">
        <v>956</v>
      </c>
      <c r="C449" t="s">
        <v>872</v>
      </c>
      <c r="D449" t="s">
        <v>957</v>
      </c>
      <c r="E449" t="s">
        <v>13</v>
      </c>
      <c r="F449" t="s">
        <v>14</v>
      </c>
      <c r="G449">
        <v>470</v>
      </c>
      <c r="H449">
        <v>2</v>
      </c>
      <c r="I449" s="16">
        <f t="shared" si="63"/>
        <v>940</v>
      </c>
      <c r="J449">
        <v>1</v>
      </c>
      <c r="K449">
        <f t="shared" si="64"/>
        <v>470</v>
      </c>
      <c r="L449">
        <f t="shared" si="71"/>
        <v>1</v>
      </c>
      <c r="M449">
        <f t="shared" si="65"/>
        <v>470</v>
      </c>
      <c r="N449">
        <f t="shared" si="66"/>
        <v>117.5</v>
      </c>
      <c r="O449">
        <f t="shared" si="67"/>
        <v>352.5</v>
      </c>
      <c r="R449" s="21" t="str">
        <f t="shared" si="74"/>
        <v>Kuruvi Koodu  by Lakshmi</v>
      </c>
    </row>
    <row r="450" spans="1:18" hidden="1" x14ac:dyDescent="0.3">
      <c r="A450">
        <v>7640</v>
      </c>
      <c r="B450" t="s">
        <v>958</v>
      </c>
      <c r="C450" t="s">
        <v>872</v>
      </c>
      <c r="D450" t="s">
        <v>959</v>
      </c>
      <c r="E450" t="s">
        <v>13</v>
      </c>
      <c r="F450" t="s">
        <v>14</v>
      </c>
      <c r="G450">
        <v>100</v>
      </c>
      <c r="H450">
        <v>2</v>
      </c>
      <c r="I450" s="16">
        <f t="shared" si="63"/>
        <v>200</v>
      </c>
      <c r="J450">
        <v>2</v>
      </c>
      <c r="K450">
        <f t="shared" si="64"/>
        <v>200</v>
      </c>
      <c r="L450">
        <f t="shared" si="71"/>
        <v>0</v>
      </c>
      <c r="M450">
        <f t="shared" si="65"/>
        <v>0</v>
      </c>
      <c r="N450">
        <f t="shared" si="66"/>
        <v>0</v>
      </c>
      <c r="O450">
        <f t="shared" si="67"/>
        <v>0</v>
      </c>
    </row>
    <row r="451" spans="1:18" hidden="1" x14ac:dyDescent="0.3">
      <c r="A451">
        <v>9625</v>
      </c>
      <c r="B451" t="s">
        <v>960</v>
      </c>
      <c r="C451" t="s">
        <v>872</v>
      </c>
      <c r="D451" t="s">
        <v>961</v>
      </c>
      <c r="E451" t="s">
        <v>13</v>
      </c>
      <c r="F451" t="s">
        <v>14</v>
      </c>
      <c r="G451">
        <v>70</v>
      </c>
      <c r="H451">
        <v>2</v>
      </c>
      <c r="I451" s="16">
        <f t="shared" ref="I451:I514" si="75">H451*G451</f>
        <v>140</v>
      </c>
      <c r="J451">
        <v>2</v>
      </c>
      <c r="K451">
        <f t="shared" ref="K451:K514" si="76">J451*G451</f>
        <v>140</v>
      </c>
      <c r="L451">
        <f t="shared" si="71"/>
        <v>0</v>
      </c>
      <c r="M451">
        <f t="shared" ref="M451:M514" si="77">L451*G451</f>
        <v>0</v>
      </c>
      <c r="N451">
        <f t="shared" ref="N451:N514" si="78">M451*0.25</f>
        <v>0</v>
      </c>
      <c r="O451">
        <f t="shared" ref="O451:O514" si="79">M451-N451</f>
        <v>0</v>
      </c>
    </row>
    <row r="452" spans="1:18" ht="18.3" x14ac:dyDescent="0.4">
      <c r="A452">
        <v>8785</v>
      </c>
      <c r="B452" t="s">
        <v>962</v>
      </c>
      <c r="C452" t="s">
        <v>872</v>
      </c>
      <c r="D452" t="s">
        <v>963</v>
      </c>
      <c r="E452" t="s">
        <v>13</v>
      </c>
      <c r="F452" t="s">
        <v>14</v>
      </c>
      <c r="G452">
        <v>160</v>
      </c>
      <c r="H452">
        <v>2</v>
      </c>
      <c r="I452" s="16">
        <f t="shared" si="75"/>
        <v>320</v>
      </c>
      <c r="J452">
        <v>0</v>
      </c>
      <c r="K452">
        <f t="shared" si="76"/>
        <v>0</v>
      </c>
      <c r="L452">
        <f t="shared" si="71"/>
        <v>2</v>
      </c>
      <c r="M452">
        <f t="shared" si="77"/>
        <v>320</v>
      </c>
      <c r="N452">
        <f t="shared" si="78"/>
        <v>80</v>
      </c>
      <c r="O452">
        <f t="shared" si="79"/>
        <v>240</v>
      </c>
      <c r="R452" s="21" t="str">
        <f t="shared" ref="R452:R453" si="80">_xlfn.TEXTJOIN("  by ",TRUE,B451,C451)</f>
        <v>Malathi Oru Athirchi  by Lakshmi</v>
      </c>
    </row>
    <row r="453" spans="1:18" ht="18.3" x14ac:dyDescent="0.4">
      <c r="A453">
        <v>10940</v>
      </c>
      <c r="B453" t="s">
        <v>964</v>
      </c>
      <c r="C453" t="s">
        <v>872</v>
      </c>
      <c r="D453" t="s">
        <v>965</v>
      </c>
      <c r="E453" t="s">
        <v>13</v>
      </c>
      <c r="F453" t="s">
        <v>14</v>
      </c>
      <c r="G453">
        <v>400</v>
      </c>
      <c r="H453">
        <v>2</v>
      </c>
      <c r="I453" s="16">
        <f t="shared" si="75"/>
        <v>800</v>
      </c>
      <c r="J453">
        <v>1</v>
      </c>
      <c r="K453">
        <f t="shared" si="76"/>
        <v>400</v>
      </c>
      <c r="L453">
        <f t="shared" si="71"/>
        <v>1</v>
      </c>
      <c r="M453">
        <f t="shared" si="77"/>
        <v>400</v>
      </c>
      <c r="N453">
        <f t="shared" si="78"/>
        <v>100</v>
      </c>
      <c r="O453">
        <f t="shared" si="79"/>
        <v>300</v>
      </c>
      <c r="R453" s="21" t="str">
        <f t="shared" si="80"/>
        <v>Manam Oru Rangarattinam  by Lakshmi</v>
      </c>
    </row>
    <row r="454" spans="1:18" hidden="1" x14ac:dyDescent="0.3">
      <c r="A454">
        <v>8833</v>
      </c>
      <c r="B454" t="s">
        <v>966</v>
      </c>
      <c r="C454" t="s">
        <v>872</v>
      </c>
      <c r="D454" t="s">
        <v>967</v>
      </c>
      <c r="E454" t="s">
        <v>13</v>
      </c>
      <c r="F454" t="s">
        <v>14</v>
      </c>
      <c r="G454">
        <v>110</v>
      </c>
      <c r="H454">
        <v>2</v>
      </c>
      <c r="I454" s="16">
        <f t="shared" si="75"/>
        <v>220</v>
      </c>
      <c r="J454">
        <v>2</v>
      </c>
      <c r="K454">
        <f t="shared" si="76"/>
        <v>220</v>
      </c>
      <c r="L454">
        <f t="shared" si="71"/>
        <v>0</v>
      </c>
      <c r="M454">
        <f t="shared" si="77"/>
        <v>0</v>
      </c>
      <c r="N454">
        <f t="shared" si="78"/>
        <v>0</v>
      </c>
      <c r="O454">
        <f t="shared" si="79"/>
        <v>0</v>
      </c>
    </row>
    <row r="455" spans="1:18" hidden="1" x14ac:dyDescent="0.3">
      <c r="A455">
        <v>8614</v>
      </c>
      <c r="B455" t="s">
        <v>968</v>
      </c>
      <c r="C455" t="s">
        <v>872</v>
      </c>
      <c r="D455" t="s">
        <v>969</v>
      </c>
      <c r="E455" t="s">
        <v>13</v>
      </c>
      <c r="F455" t="s">
        <v>14</v>
      </c>
      <c r="G455">
        <v>100</v>
      </c>
      <c r="H455">
        <v>2</v>
      </c>
      <c r="I455" s="16">
        <f t="shared" si="75"/>
        <v>200</v>
      </c>
      <c r="J455">
        <v>2</v>
      </c>
      <c r="K455">
        <f t="shared" si="76"/>
        <v>200</v>
      </c>
      <c r="L455">
        <f t="shared" si="71"/>
        <v>0</v>
      </c>
      <c r="M455">
        <f t="shared" si="77"/>
        <v>0</v>
      </c>
      <c r="N455">
        <f t="shared" si="78"/>
        <v>0</v>
      </c>
      <c r="O455">
        <f t="shared" si="79"/>
        <v>0</v>
      </c>
    </row>
    <row r="456" spans="1:18" hidden="1" x14ac:dyDescent="0.3">
      <c r="A456">
        <v>8703</v>
      </c>
      <c r="B456" t="s">
        <v>970</v>
      </c>
      <c r="C456" t="s">
        <v>872</v>
      </c>
      <c r="D456" t="s">
        <v>971</v>
      </c>
      <c r="E456" t="s">
        <v>13</v>
      </c>
      <c r="F456" t="s">
        <v>14</v>
      </c>
      <c r="G456">
        <v>150</v>
      </c>
      <c r="H456">
        <v>2</v>
      </c>
      <c r="I456" s="16">
        <f t="shared" si="75"/>
        <v>300</v>
      </c>
      <c r="J456">
        <v>2</v>
      </c>
      <c r="K456">
        <f t="shared" si="76"/>
        <v>300</v>
      </c>
      <c r="L456">
        <f t="shared" si="71"/>
        <v>0</v>
      </c>
      <c r="M456">
        <f t="shared" si="77"/>
        <v>0</v>
      </c>
      <c r="N456">
        <f t="shared" si="78"/>
        <v>0</v>
      </c>
      <c r="O456">
        <f t="shared" si="79"/>
        <v>0</v>
      </c>
    </row>
    <row r="457" spans="1:18" hidden="1" x14ac:dyDescent="0.3">
      <c r="A457">
        <v>7326</v>
      </c>
      <c r="B457" t="s">
        <v>972</v>
      </c>
      <c r="C457" t="s">
        <v>872</v>
      </c>
      <c r="D457" t="s">
        <v>973</v>
      </c>
      <c r="E457" t="s">
        <v>13</v>
      </c>
      <c r="F457" t="s">
        <v>14</v>
      </c>
      <c r="G457">
        <v>70</v>
      </c>
      <c r="H457">
        <v>2</v>
      </c>
      <c r="I457" s="16">
        <f t="shared" si="75"/>
        <v>140</v>
      </c>
      <c r="J457">
        <v>2</v>
      </c>
      <c r="K457">
        <f t="shared" si="76"/>
        <v>140</v>
      </c>
      <c r="L457">
        <f t="shared" si="71"/>
        <v>0</v>
      </c>
      <c r="M457">
        <f t="shared" si="77"/>
        <v>0</v>
      </c>
      <c r="N457">
        <f t="shared" si="78"/>
        <v>0</v>
      </c>
      <c r="O457">
        <f t="shared" si="79"/>
        <v>0</v>
      </c>
    </row>
    <row r="458" spans="1:18" hidden="1" x14ac:dyDescent="0.3">
      <c r="A458">
        <v>8831</v>
      </c>
      <c r="B458" t="s">
        <v>974</v>
      </c>
      <c r="C458" t="s">
        <v>872</v>
      </c>
      <c r="D458" t="s">
        <v>975</v>
      </c>
      <c r="E458" t="s">
        <v>13</v>
      </c>
      <c r="F458" t="s">
        <v>14</v>
      </c>
      <c r="G458">
        <v>100</v>
      </c>
      <c r="H458">
        <v>2</v>
      </c>
      <c r="I458" s="16">
        <f t="shared" si="75"/>
        <v>200</v>
      </c>
      <c r="J458">
        <v>2</v>
      </c>
      <c r="K458">
        <f t="shared" si="76"/>
        <v>200</v>
      </c>
      <c r="L458">
        <f t="shared" si="71"/>
        <v>0</v>
      </c>
      <c r="M458">
        <f t="shared" si="77"/>
        <v>0</v>
      </c>
      <c r="N458">
        <f t="shared" si="78"/>
        <v>0</v>
      </c>
      <c r="O458">
        <f t="shared" si="79"/>
        <v>0</v>
      </c>
    </row>
    <row r="459" spans="1:18" hidden="1" x14ac:dyDescent="0.3">
      <c r="A459">
        <v>10561</v>
      </c>
      <c r="B459" t="s">
        <v>976</v>
      </c>
      <c r="C459" t="s">
        <v>872</v>
      </c>
      <c r="D459" t="s">
        <v>977</v>
      </c>
      <c r="E459" t="s">
        <v>13</v>
      </c>
      <c r="F459" t="s">
        <v>14</v>
      </c>
      <c r="G459">
        <v>100</v>
      </c>
      <c r="H459">
        <v>2</v>
      </c>
      <c r="I459" s="16">
        <f t="shared" si="75"/>
        <v>200</v>
      </c>
      <c r="J459">
        <v>2</v>
      </c>
      <c r="K459">
        <f t="shared" si="76"/>
        <v>200</v>
      </c>
      <c r="L459">
        <f t="shared" si="71"/>
        <v>0</v>
      </c>
      <c r="M459">
        <f t="shared" si="77"/>
        <v>0</v>
      </c>
      <c r="N459">
        <f t="shared" si="78"/>
        <v>0</v>
      </c>
      <c r="O459">
        <f t="shared" si="79"/>
        <v>0</v>
      </c>
    </row>
    <row r="460" spans="1:18" hidden="1" x14ac:dyDescent="0.3">
      <c r="A460">
        <v>11008</v>
      </c>
      <c r="B460" t="s">
        <v>978</v>
      </c>
      <c r="C460" t="s">
        <v>872</v>
      </c>
      <c r="D460" t="s">
        <v>979</v>
      </c>
      <c r="E460" t="s">
        <v>13</v>
      </c>
      <c r="F460" t="s">
        <v>14</v>
      </c>
      <c r="G460">
        <v>140</v>
      </c>
      <c r="H460">
        <v>2</v>
      </c>
      <c r="I460" s="16">
        <f t="shared" si="75"/>
        <v>280</v>
      </c>
      <c r="J460">
        <v>2</v>
      </c>
      <c r="K460">
        <f t="shared" si="76"/>
        <v>280</v>
      </c>
      <c r="L460">
        <f t="shared" si="71"/>
        <v>0</v>
      </c>
      <c r="M460">
        <f t="shared" si="77"/>
        <v>0</v>
      </c>
      <c r="N460">
        <f t="shared" si="78"/>
        <v>0</v>
      </c>
      <c r="O460">
        <f t="shared" si="79"/>
        <v>0</v>
      </c>
    </row>
    <row r="461" spans="1:18" ht="18.3" x14ac:dyDescent="0.4">
      <c r="A461">
        <v>8819</v>
      </c>
      <c r="B461" t="s">
        <v>980</v>
      </c>
      <c r="C461" t="s">
        <v>872</v>
      </c>
      <c r="D461" t="s">
        <v>981</v>
      </c>
      <c r="E461" t="s">
        <v>13</v>
      </c>
      <c r="F461" t="s">
        <v>44</v>
      </c>
      <c r="G461">
        <v>530</v>
      </c>
      <c r="H461">
        <v>2</v>
      </c>
      <c r="I461" s="16">
        <f t="shared" si="75"/>
        <v>1060</v>
      </c>
      <c r="J461">
        <v>1</v>
      </c>
      <c r="K461">
        <f t="shared" si="76"/>
        <v>530</v>
      </c>
      <c r="L461">
        <f t="shared" si="71"/>
        <v>1</v>
      </c>
      <c r="M461">
        <f t="shared" si="77"/>
        <v>530</v>
      </c>
      <c r="N461">
        <f t="shared" si="78"/>
        <v>132.5</v>
      </c>
      <c r="O461">
        <f t="shared" si="79"/>
        <v>397.5</v>
      </c>
      <c r="R461" s="21" t="str">
        <f>_xlfn.TEXTJOIN("  by ",TRUE,B460,C460)</f>
        <v>Murugan Sirithaan  by Lakshmi</v>
      </c>
    </row>
    <row r="462" spans="1:18" hidden="1" x14ac:dyDescent="0.3">
      <c r="A462">
        <v>10999</v>
      </c>
      <c r="B462" t="s">
        <v>982</v>
      </c>
      <c r="C462" t="s">
        <v>872</v>
      </c>
      <c r="D462" t="s">
        <v>983</v>
      </c>
      <c r="E462" t="s">
        <v>13</v>
      </c>
      <c r="F462" t="s">
        <v>14</v>
      </c>
      <c r="G462">
        <v>160</v>
      </c>
      <c r="H462">
        <v>2</v>
      </c>
      <c r="I462" s="16">
        <f t="shared" si="75"/>
        <v>320</v>
      </c>
      <c r="J462">
        <v>2</v>
      </c>
      <c r="K462">
        <f t="shared" si="76"/>
        <v>320</v>
      </c>
      <c r="L462">
        <f t="shared" si="71"/>
        <v>0</v>
      </c>
      <c r="M462">
        <f t="shared" si="77"/>
        <v>0</v>
      </c>
      <c r="N462">
        <f t="shared" si="78"/>
        <v>0</v>
      </c>
      <c r="O462">
        <f t="shared" si="79"/>
        <v>0</v>
      </c>
    </row>
    <row r="463" spans="1:18" hidden="1" x14ac:dyDescent="0.3">
      <c r="A463">
        <v>8813</v>
      </c>
      <c r="B463" t="s">
        <v>984</v>
      </c>
      <c r="C463" t="s">
        <v>872</v>
      </c>
      <c r="D463" t="s">
        <v>985</v>
      </c>
      <c r="E463" t="s">
        <v>13</v>
      </c>
      <c r="F463" t="s">
        <v>14</v>
      </c>
      <c r="G463">
        <v>70</v>
      </c>
      <c r="H463">
        <v>2</v>
      </c>
      <c r="I463" s="16">
        <f t="shared" si="75"/>
        <v>140</v>
      </c>
      <c r="J463">
        <v>2</v>
      </c>
      <c r="K463">
        <f t="shared" si="76"/>
        <v>140</v>
      </c>
      <c r="L463">
        <f t="shared" si="71"/>
        <v>0</v>
      </c>
      <c r="M463">
        <f t="shared" si="77"/>
        <v>0</v>
      </c>
      <c r="N463">
        <f t="shared" si="78"/>
        <v>0</v>
      </c>
      <c r="O463">
        <f t="shared" si="79"/>
        <v>0</v>
      </c>
    </row>
    <row r="464" spans="1:18" hidden="1" x14ac:dyDescent="0.3">
      <c r="A464">
        <v>10998</v>
      </c>
      <c r="B464" t="s">
        <v>986</v>
      </c>
      <c r="C464" t="s">
        <v>872</v>
      </c>
      <c r="D464" t="s">
        <v>987</v>
      </c>
      <c r="E464" t="s">
        <v>13</v>
      </c>
      <c r="F464" t="s">
        <v>14</v>
      </c>
      <c r="G464">
        <v>310</v>
      </c>
      <c r="H464">
        <v>2</v>
      </c>
      <c r="I464" s="16">
        <f t="shared" si="75"/>
        <v>620</v>
      </c>
      <c r="J464">
        <v>2</v>
      </c>
      <c r="K464">
        <f t="shared" si="76"/>
        <v>620</v>
      </c>
      <c r="L464">
        <f t="shared" si="71"/>
        <v>0</v>
      </c>
      <c r="M464">
        <f t="shared" si="77"/>
        <v>0</v>
      </c>
      <c r="N464">
        <f t="shared" si="78"/>
        <v>0</v>
      </c>
      <c r="O464">
        <f t="shared" si="79"/>
        <v>0</v>
      </c>
    </row>
    <row r="465" spans="1:18" ht="18.3" x14ac:dyDescent="0.4">
      <c r="A465">
        <v>8885</v>
      </c>
      <c r="B465" t="s">
        <v>988</v>
      </c>
      <c r="C465" t="s">
        <v>872</v>
      </c>
      <c r="D465" t="s">
        <v>989</v>
      </c>
      <c r="E465" t="s">
        <v>13</v>
      </c>
      <c r="F465" t="s">
        <v>14</v>
      </c>
      <c r="G465">
        <v>160</v>
      </c>
      <c r="H465">
        <v>2</v>
      </c>
      <c r="I465" s="16">
        <f t="shared" si="75"/>
        <v>320</v>
      </c>
      <c r="J465">
        <v>1</v>
      </c>
      <c r="K465">
        <f t="shared" si="76"/>
        <v>160</v>
      </c>
      <c r="L465">
        <f t="shared" si="71"/>
        <v>1</v>
      </c>
      <c r="M465">
        <f t="shared" si="77"/>
        <v>160</v>
      </c>
      <c r="N465">
        <f t="shared" si="78"/>
        <v>40</v>
      </c>
      <c r="O465">
        <f t="shared" si="79"/>
        <v>120</v>
      </c>
      <c r="R465" s="21" t="str">
        <f>_xlfn.TEXTJOIN("  by ",TRUE,B464,C464)</f>
        <v>Niyayangal Maarum Pothu...  by Lakshmi</v>
      </c>
    </row>
    <row r="466" spans="1:18" hidden="1" x14ac:dyDescent="0.3">
      <c r="A466">
        <v>8817</v>
      </c>
      <c r="B466" t="s">
        <v>990</v>
      </c>
      <c r="C466" t="s">
        <v>872</v>
      </c>
      <c r="D466" t="s">
        <v>991</v>
      </c>
      <c r="E466" t="s">
        <v>13</v>
      </c>
      <c r="F466" t="s">
        <v>14</v>
      </c>
      <c r="G466">
        <v>430</v>
      </c>
      <c r="H466">
        <v>2</v>
      </c>
      <c r="I466" s="16">
        <f t="shared" si="75"/>
        <v>860</v>
      </c>
      <c r="J466">
        <v>2</v>
      </c>
      <c r="K466">
        <f t="shared" si="76"/>
        <v>860</v>
      </c>
      <c r="L466">
        <f t="shared" si="71"/>
        <v>0</v>
      </c>
      <c r="M466">
        <f t="shared" si="77"/>
        <v>0</v>
      </c>
      <c r="N466">
        <f t="shared" si="78"/>
        <v>0</v>
      </c>
      <c r="O466">
        <f t="shared" si="79"/>
        <v>0</v>
      </c>
    </row>
    <row r="467" spans="1:18" ht="18.3" x14ac:dyDescent="0.4">
      <c r="A467">
        <v>10451</v>
      </c>
      <c r="B467" t="s">
        <v>992</v>
      </c>
      <c r="C467" t="s">
        <v>872</v>
      </c>
      <c r="D467" t="s">
        <v>993</v>
      </c>
      <c r="E467" t="s">
        <v>13</v>
      </c>
      <c r="F467" t="s">
        <v>14</v>
      </c>
      <c r="G467">
        <v>100</v>
      </c>
      <c r="H467">
        <v>2</v>
      </c>
      <c r="I467" s="16">
        <f t="shared" si="75"/>
        <v>200</v>
      </c>
      <c r="J467">
        <v>1</v>
      </c>
      <c r="K467">
        <f t="shared" si="76"/>
        <v>100</v>
      </c>
      <c r="L467">
        <f t="shared" si="71"/>
        <v>1</v>
      </c>
      <c r="M467">
        <f t="shared" si="77"/>
        <v>100</v>
      </c>
      <c r="N467">
        <f t="shared" si="78"/>
        <v>25</v>
      </c>
      <c r="O467">
        <f t="shared" si="79"/>
        <v>75</v>
      </c>
      <c r="R467" s="21" t="str">
        <f t="shared" ref="R467:R469" si="81">_xlfn.TEXTJOIN("  by ",TRUE,B466,C466)</f>
        <v>Oru Kaviriyai Pola...  by Lakshmi</v>
      </c>
    </row>
    <row r="468" spans="1:18" ht="18.3" x14ac:dyDescent="0.4">
      <c r="A468">
        <v>6877</v>
      </c>
      <c r="B468" t="s">
        <v>994</v>
      </c>
      <c r="C468" t="s">
        <v>872</v>
      </c>
      <c r="D468" t="s">
        <v>995</v>
      </c>
      <c r="E468" t="s">
        <v>13</v>
      </c>
      <c r="F468" t="s">
        <v>14</v>
      </c>
      <c r="G468">
        <v>130</v>
      </c>
      <c r="H468">
        <v>2</v>
      </c>
      <c r="I468" s="16">
        <f t="shared" si="75"/>
        <v>260</v>
      </c>
      <c r="J468">
        <v>1</v>
      </c>
      <c r="K468">
        <f t="shared" si="76"/>
        <v>130</v>
      </c>
      <c r="L468">
        <f t="shared" si="71"/>
        <v>1</v>
      </c>
      <c r="M468">
        <f t="shared" si="77"/>
        <v>130</v>
      </c>
      <c r="N468">
        <f t="shared" si="78"/>
        <v>32.5</v>
      </c>
      <c r="O468">
        <f t="shared" si="79"/>
        <v>97.5</v>
      </c>
      <c r="R468" s="21" t="str">
        <f t="shared" si="81"/>
        <v>Oru Mudivin Aarambam  by Lakshmi</v>
      </c>
    </row>
    <row r="469" spans="1:18" ht="18.3" x14ac:dyDescent="0.4">
      <c r="A469">
        <v>10933</v>
      </c>
      <c r="B469" t="s">
        <v>996</v>
      </c>
      <c r="C469" t="s">
        <v>872</v>
      </c>
      <c r="D469" t="s">
        <v>997</v>
      </c>
      <c r="E469" t="s">
        <v>13</v>
      </c>
      <c r="F469" t="s">
        <v>14</v>
      </c>
      <c r="G469">
        <v>140</v>
      </c>
      <c r="H469">
        <v>2</v>
      </c>
      <c r="I469" s="16">
        <f t="shared" si="75"/>
        <v>280</v>
      </c>
      <c r="J469">
        <v>0</v>
      </c>
      <c r="K469">
        <f t="shared" si="76"/>
        <v>0</v>
      </c>
      <c r="L469">
        <f t="shared" si="71"/>
        <v>2</v>
      </c>
      <c r="M469">
        <f t="shared" si="77"/>
        <v>280</v>
      </c>
      <c r="N469">
        <f t="shared" si="78"/>
        <v>70</v>
      </c>
      <c r="O469">
        <f t="shared" si="79"/>
        <v>210</v>
      </c>
      <c r="R469" s="21" t="str">
        <f t="shared" si="81"/>
        <v>Oru Sivappu Patchaiyaakirathu  by Lakshmi</v>
      </c>
    </row>
    <row r="470" spans="1:18" hidden="1" x14ac:dyDescent="0.3">
      <c r="A470">
        <v>8822</v>
      </c>
      <c r="B470" t="s">
        <v>998</v>
      </c>
      <c r="C470" t="s">
        <v>872</v>
      </c>
      <c r="D470" t="s">
        <v>999</v>
      </c>
      <c r="E470" t="s">
        <v>13</v>
      </c>
      <c r="F470" t="s">
        <v>14</v>
      </c>
      <c r="G470">
        <v>440</v>
      </c>
      <c r="H470">
        <v>2</v>
      </c>
      <c r="I470" s="16">
        <f t="shared" si="75"/>
        <v>880</v>
      </c>
      <c r="J470">
        <v>2</v>
      </c>
      <c r="K470">
        <f t="shared" si="76"/>
        <v>880</v>
      </c>
      <c r="L470">
        <f t="shared" si="71"/>
        <v>0</v>
      </c>
      <c r="M470">
        <f t="shared" si="77"/>
        <v>0</v>
      </c>
      <c r="N470">
        <f t="shared" si="78"/>
        <v>0</v>
      </c>
      <c r="O470">
        <f t="shared" si="79"/>
        <v>0</v>
      </c>
    </row>
    <row r="471" spans="1:18" ht="18.3" x14ac:dyDescent="0.4">
      <c r="A471">
        <v>8835</v>
      </c>
      <c r="B471" t="s">
        <v>1000</v>
      </c>
      <c r="C471" t="s">
        <v>872</v>
      </c>
      <c r="D471" t="s">
        <v>1001</v>
      </c>
      <c r="E471" t="s">
        <v>13</v>
      </c>
      <c r="F471" t="s">
        <v>14</v>
      </c>
      <c r="G471">
        <v>310</v>
      </c>
      <c r="H471">
        <v>2</v>
      </c>
      <c r="I471" s="16">
        <f t="shared" si="75"/>
        <v>620</v>
      </c>
      <c r="J471">
        <v>0</v>
      </c>
      <c r="K471">
        <f t="shared" si="76"/>
        <v>0</v>
      </c>
      <c r="L471">
        <f t="shared" si="71"/>
        <v>2</v>
      </c>
      <c r="M471">
        <f t="shared" si="77"/>
        <v>620</v>
      </c>
      <c r="N471">
        <f t="shared" si="78"/>
        <v>155</v>
      </c>
      <c r="O471">
        <f t="shared" si="79"/>
        <v>465</v>
      </c>
      <c r="R471" s="21" t="str">
        <f>_xlfn.TEXTJOIN("  by ",TRUE,B470,C470)</f>
        <v>Pannaiyar Magal  by Lakshmi</v>
      </c>
    </row>
    <row r="472" spans="1:18" hidden="1" x14ac:dyDescent="0.3">
      <c r="A472">
        <v>11002</v>
      </c>
      <c r="B472" t="s">
        <v>1002</v>
      </c>
      <c r="C472" t="s">
        <v>872</v>
      </c>
      <c r="D472" t="s">
        <v>1003</v>
      </c>
      <c r="E472" t="s">
        <v>13</v>
      </c>
      <c r="F472" t="s">
        <v>14</v>
      </c>
      <c r="G472">
        <v>140</v>
      </c>
      <c r="H472">
        <v>2</v>
      </c>
      <c r="I472" s="16">
        <f t="shared" si="75"/>
        <v>280</v>
      </c>
      <c r="J472">
        <v>2</v>
      </c>
      <c r="K472">
        <f t="shared" si="76"/>
        <v>280</v>
      </c>
      <c r="L472">
        <f t="shared" si="71"/>
        <v>0</v>
      </c>
      <c r="M472">
        <f t="shared" si="77"/>
        <v>0</v>
      </c>
      <c r="N472">
        <f t="shared" si="78"/>
        <v>0</v>
      </c>
      <c r="O472">
        <f t="shared" si="79"/>
        <v>0</v>
      </c>
    </row>
    <row r="473" spans="1:18" hidden="1" x14ac:dyDescent="0.3">
      <c r="A473">
        <v>8539</v>
      </c>
      <c r="B473" t="s">
        <v>1004</v>
      </c>
      <c r="C473" t="s">
        <v>872</v>
      </c>
      <c r="D473" t="s">
        <v>1005</v>
      </c>
      <c r="E473" t="s">
        <v>13</v>
      </c>
      <c r="F473" t="s">
        <v>14</v>
      </c>
      <c r="G473">
        <v>140</v>
      </c>
      <c r="H473">
        <v>2</v>
      </c>
      <c r="I473" s="16">
        <f t="shared" si="75"/>
        <v>280</v>
      </c>
      <c r="J473">
        <v>2</v>
      </c>
      <c r="K473">
        <f t="shared" si="76"/>
        <v>280</v>
      </c>
      <c r="L473">
        <f t="shared" si="71"/>
        <v>0</v>
      </c>
      <c r="M473">
        <f t="shared" si="77"/>
        <v>0</v>
      </c>
      <c r="N473">
        <f t="shared" si="78"/>
        <v>0</v>
      </c>
      <c r="O473">
        <f t="shared" si="79"/>
        <v>0</v>
      </c>
    </row>
    <row r="474" spans="1:18" ht="18.3" x14ac:dyDescent="0.4">
      <c r="A474">
        <v>8809</v>
      </c>
      <c r="B474" t="s">
        <v>1006</v>
      </c>
      <c r="C474" t="s">
        <v>872</v>
      </c>
      <c r="D474" t="s">
        <v>1007</v>
      </c>
      <c r="E474" t="s">
        <v>13</v>
      </c>
      <c r="F474" t="s">
        <v>14</v>
      </c>
      <c r="G474">
        <v>210</v>
      </c>
      <c r="H474">
        <v>2</v>
      </c>
      <c r="I474" s="16">
        <f t="shared" si="75"/>
        <v>420</v>
      </c>
      <c r="J474">
        <v>1</v>
      </c>
      <c r="K474">
        <f t="shared" si="76"/>
        <v>210</v>
      </c>
      <c r="L474">
        <f t="shared" si="71"/>
        <v>1</v>
      </c>
      <c r="M474">
        <f t="shared" si="77"/>
        <v>210</v>
      </c>
      <c r="N474">
        <f t="shared" si="78"/>
        <v>52.5</v>
      </c>
      <c r="O474">
        <f t="shared" si="79"/>
        <v>157.5</v>
      </c>
      <c r="R474" s="21" t="str">
        <f>_xlfn.TEXTJOIN("  by ",TRUE,B473,C473)</f>
        <v>Puliyin Pasi  by Lakshmi</v>
      </c>
    </row>
    <row r="475" spans="1:18" hidden="1" x14ac:dyDescent="0.3">
      <c r="A475">
        <v>8806</v>
      </c>
      <c r="B475" t="s">
        <v>1008</v>
      </c>
      <c r="C475" t="s">
        <v>872</v>
      </c>
      <c r="D475" t="s">
        <v>1009</v>
      </c>
      <c r="E475" t="s">
        <v>13</v>
      </c>
      <c r="F475" t="s">
        <v>14</v>
      </c>
      <c r="G475">
        <v>140</v>
      </c>
      <c r="H475">
        <v>2</v>
      </c>
      <c r="I475" s="16">
        <f t="shared" si="75"/>
        <v>280</v>
      </c>
      <c r="J475">
        <v>2</v>
      </c>
      <c r="K475">
        <f t="shared" si="76"/>
        <v>280</v>
      </c>
      <c r="L475">
        <f t="shared" si="71"/>
        <v>0</v>
      </c>
      <c r="M475">
        <f t="shared" si="77"/>
        <v>0</v>
      </c>
      <c r="N475">
        <f t="shared" si="78"/>
        <v>0</v>
      </c>
      <c r="O475">
        <f t="shared" si="79"/>
        <v>0</v>
      </c>
    </row>
    <row r="476" spans="1:18" hidden="1" x14ac:dyDescent="0.3">
      <c r="A476">
        <v>8883</v>
      </c>
      <c r="B476" t="s">
        <v>1010</v>
      </c>
      <c r="C476" t="s">
        <v>872</v>
      </c>
      <c r="D476" t="s">
        <v>1011</v>
      </c>
      <c r="E476" t="s">
        <v>13</v>
      </c>
      <c r="F476" t="s">
        <v>14</v>
      </c>
      <c r="G476">
        <v>270</v>
      </c>
      <c r="H476">
        <v>2</v>
      </c>
      <c r="I476" s="16">
        <f t="shared" si="75"/>
        <v>540</v>
      </c>
      <c r="J476">
        <v>2</v>
      </c>
      <c r="K476">
        <f t="shared" si="76"/>
        <v>540</v>
      </c>
      <c r="L476">
        <f t="shared" si="71"/>
        <v>0</v>
      </c>
      <c r="M476">
        <f t="shared" si="77"/>
        <v>0</v>
      </c>
      <c r="N476">
        <f t="shared" si="78"/>
        <v>0</v>
      </c>
      <c r="O476">
        <f t="shared" si="79"/>
        <v>0</v>
      </c>
    </row>
    <row r="477" spans="1:18" ht="18.3" x14ac:dyDescent="0.4">
      <c r="A477">
        <v>10877</v>
      </c>
      <c r="B477" t="s">
        <v>1012</v>
      </c>
      <c r="C477" t="s">
        <v>872</v>
      </c>
      <c r="D477" t="s">
        <v>1013</v>
      </c>
      <c r="E477" t="s">
        <v>13</v>
      </c>
      <c r="F477" t="s">
        <v>14</v>
      </c>
      <c r="G477">
        <v>90</v>
      </c>
      <c r="H477">
        <v>2</v>
      </c>
      <c r="I477" s="16">
        <f t="shared" si="75"/>
        <v>180</v>
      </c>
      <c r="J477">
        <v>1</v>
      </c>
      <c r="K477">
        <f t="shared" si="76"/>
        <v>90</v>
      </c>
      <c r="L477">
        <f t="shared" si="71"/>
        <v>1</v>
      </c>
      <c r="M477">
        <f t="shared" si="77"/>
        <v>90</v>
      </c>
      <c r="N477">
        <f t="shared" si="78"/>
        <v>22.5</v>
      </c>
      <c r="O477">
        <f t="shared" si="79"/>
        <v>67.5</v>
      </c>
      <c r="R477" s="21" t="str">
        <f t="shared" ref="R477:R478" si="82">_xlfn.TEXTJOIN("  by ",TRUE,B476,C476)</f>
        <v>Saatharana Manidhan  by Lakshmi</v>
      </c>
    </row>
    <row r="478" spans="1:18" ht="18.3" x14ac:dyDescent="0.4">
      <c r="A478">
        <v>8893</v>
      </c>
      <c r="B478" t="s">
        <v>1014</v>
      </c>
      <c r="C478" t="s">
        <v>872</v>
      </c>
      <c r="D478" t="s">
        <v>1015</v>
      </c>
      <c r="E478" t="s">
        <v>13</v>
      </c>
      <c r="F478" t="s">
        <v>14</v>
      </c>
      <c r="G478">
        <v>170</v>
      </c>
      <c r="H478">
        <v>2</v>
      </c>
      <c r="I478" s="16">
        <f t="shared" si="75"/>
        <v>340</v>
      </c>
      <c r="J478">
        <v>1</v>
      </c>
      <c r="K478">
        <f t="shared" si="76"/>
        <v>170</v>
      </c>
      <c r="L478">
        <f t="shared" si="71"/>
        <v>1</v>
      </c>
      <c r="M478">
        <f t="shared" si="77"/>
        <v>170</v>
      </c>
      <c r="N478">
        <f t="shared" si="78"/>
        <v>42.5</v>
      </c>
      <c r="O478">
        <f t="shared" si="79"/>
        <v>127.5</v>
      </c>
      <c r="R478" s="21" t="str">
        <f t="shared" si="82"/>
        <v>Seerinal Chitra  by Lakshmi</v>
      </c>
    </row>
    <row r="479" spans="1:18" hidden="1" x14ac:dyDescent="0.3">
      <c r="A479">
        <v>8538</v>
      </c>
      <c r="B479" t="s">
        <v>1016</v>
      </c>
      <c r="C479" t="s">
        <v>872</v>
      </c>
      <c r="D479" t="s">
        <v>1017</v>
      </c>
      <c r="E479" t="s">
        <v>13</v>
      </c>
      <c r="F479" t="s">
        <v>14</v>
      </c>
      <c r="G479">
        <v>230</v>
      </c>
      <c r="H479">
        <v>2</v>
      </c>
      <c r="I479" s="16">
        <f t="shared" si="75"/>
        <v>460</v>
      </c>
      <c r="J479">
        <v>2</v>
      </c>
      <c r="K479">
        <f t="shared" si="76"/>
        <v>460</v>
      </c>
      <c r="L479">
        <f t="shared" si="71"/>
        <v>0</v>
      </c>
      <c r="M479">
        <f t="shared" si="77"/>
        <v>0</v>
      </c>
      <c r="N479">
        <f t="shared" si="78"/>
        <v>0</v>
      </c>
      <c r="O479">
        <f t="shared" si="79"/>
        <v>0</v>
      </c>
    </row>
    <row r="480" spans="1:18" hidden="1" x14ac:dyDescent="0.3">
      <c r="A480">
        <v>8816</v>
      </c>
      <c r="B480" t="s">
        <v>1018</v>
      </c>
      <c r="C480" t="s">
        <v>872</v>
      </c>
      <c r="D480" t="s">
        <v>1019</v>
      </c>
      <c r="E480" t="s">
        <v>13</v>
      </c>
      <c r="F480" t="s">
        <v>14</v>
      </c>
      <c r="G480">
        <v>450</v>
      </c>
      <c r="H480">
        <v>2</v>
      </c>
      <c r="I480" s="16">
        <f t="shared" si="75"/>
        <v>900</v>
      </c>
      <c r="J480">
        <v>2</v>
      </c>
      <c r="K480">
        <f t="shared" si="76"/>
        <v>900</v>
      </c>
      <c r="L480">
        <f t="shared" si="71"/>
        <v>0</v>
      </c>
      <c r="M480">
        <f t="shared" si="77"/>
        <v>0</v>
      </c>
      <c r="N480">
        <f t="shared" si="78"/>
        <v>0</v>
      </c>
      <c r="O480">
        <f t="shared" si="79"/>
        <v>0</v>
      </c>
    </row>
    <row r="481" spans="1:18" hidden="1" x14ac:dyDescent="0.3">
      <c r="A481">
        <v>8537</v>
      </c>
      <c r="B481" t="s">
        <v>1020</v>
      </c>
      <c r="C481" t="s">
        <v>872</v>
      </c>
      <c r="D481" t="s">
        <v>1021</v>
      </c>
      <c r="E481" t="s">
        <v>13</v>
      </c>
      <c r="F481" t="s">
        <v>14</v>
      </c>
      <c r="G481">
        <v>560</v>
      </c>
      <c r="H481">
        <v>2</v>
      </c>
      <c r="I481" s="16">
        <f t="shared" si="75"/>
        <v>1120</v>
      </c>
      <c r="J481">
        <v>2</v>
      </c>
      <c r="K481">
        <f t="shared" si="76"/>
        <v>1120</v>
      </c>
      <c r="L481">
        <f t="shared" si="71"/>
        <v>0</v>
      </c>
      <c r="M481">
        <f t="shared" si="77"/>
        <v>0</v>
      </c>
      <c r="N481">
        <f t="shared" si="78"/>
        <v>0</v>
      </c>
      <c r="O481">
        <f t="shared" si="79"/>
        <v>0</v>
      </c>
    </row>
    <row r="482" spans="1:18" hidden="1" x14ac:dyDescent="0.3">
      <c r="A482">
        <v>8702</v>
      </c>
      <c r="B482" t="s">
        <v>1022</v>
      </c>
      <c r="C482" t="s">
        <v>872</v>
      </c>
      <c r="D482" t="s">
        <v>1023</v>
      </c>
      <c r="E482" t="s">
        <v>13</v>
      </c>
      <c r="F482" t="s">
        <v>14</v>
      </c>
      <c r="G482">
        <v>150</v>
      </c>
      <c r="H482">
        <v>2</v>
      </c>
      <c r="I482" s="16">
        <f t="shared" si="75"/>
        <v>300</v>
      </c>
      <c r="J482">
        <v>2</v>
      </c>
      <c r="K482">
        <f t="shared" si="76"/>
        <v>300</v>
      </c>
      <c r="L482">
        <f t="shared" si="71"/>
        <v>0</v>
      </c>
      <c r="M482">
        <f t="shared" si="77"/>
        <v>0</v>
      </c>
      <c r="N482">
        <f t="shared" si="78"/>
        <v>0</v>
      </c>
      <c r="O482">
        <f t="shared" si="79"/>
        <v>0</v>
      </c>
    </row>
    <row r="483" spans="1:18" ht="18.3" x14ac:dyDescent="0.4">
      <c r="A483">
        <v>11024</v>
      </c>
      <c r="B483" t="s">
        <v>1024</v>
      </c>
      <c r="C483" t="s">
        <v>872</v>
      </c>
      <c r="D483" t="s">
        <v>1025</v>
      </c>
      <c r="E483" t="s">
        <v>13</v>
      </c>
      <c r="F483" t="s">
        <v>14</v>
      </c>
      <c r="G483">
        <v>420</v>
      </c>
      <c r="H483">
        <v>2</v>
      </c>
      <c r="I483" s="16">
        <f t="shared" si="75"/>
        <v>840</v>
      </c>
      <c r="J483">
        <v>1</v>
      </c>
      <c r="K483">
        <f t="shared" si="76"/>
        <v>420</v>
      </c>
      <c r="L483">
        <f t="shared" si="71"/>
        <v>1</v>
      </c>
      <c r="M483">
        <f t="shared" si="77"/>
        <v>420</v>
      </c>
      <c r="N483">
        <f t="shared" si="78"/>
        <v>105</v>
      </c>
      <c r="O483">
        <f t="shared" si="79"/>
        <v>315</v>
      </c>
      <c r="R483" s="21" t="str">
        <f>_xlfn.TEXTJOIN("  by ",TRUE,B482,C482)</f>
        <v>Thai Pirakkattum  by Lakshmi</v>
      </c>
    </row>
    <row r="484" spans="1:18" hidden="1" x14ac:dyDescent="0.3">
      <c r="A484">
        <v>11001</v>
      </c>
      <c r="B484" t="s">
        <v>1026</v>
      </c>
      <c r="C484" t="s">
        <v>872</v>
      </c>
      <c r="D484" t="s">
        <v>1027</v>
      </c>
      <c r="E484" t="s">
        <v>13</v>
      </c>
      <c r="F484" t="s">
        <v>14</v>
      </c>
      <c r="G484">
        <v>150</v>
      </c>
      <c r="H484">
        <v>2</v>
      </c>
      <c r="I484" s="16">
        <f t="shared" si="75"/>
        <v>300</v>
      </c>
      <c r="J484">
        <v>2</v>
      </c>
      <c r="K484">
        <f t="shared" si="76"/>
        <v>300</v>
      </c>
      <c r="L484">
        <f t="shared" ref="L484:L547" si="83">H484-J484</f>
        <v>0</v>
      </c>
      <c r="M484">
        <f t="shared" si="77"/>
        <v>0</v>
      </c>
      <c r="N484">
        <f t="shared" si="78"/>
        <v>0</v>
      </c>
      <c r="O484">
        <f t="shared" si="79"/>
        <v>0</v>
      </c>
    </row>
    <row r="485" spans="1:18" ht="18.3" x14ac:dyDescent="0.4">
      <c r="A485">
        <v>11010</v>
      </c>
      <c r="B485" t="s">
        <v>1028</v>
      </c>
      <c r="C485" t="s">
        <v>872</v>
      </c>
      <c r="D485" t="s">
        <v>1029</v>
      </c>
      <c r="E485" t="s">
        <v>13</v>
      </c>
      <c r="F485" t="s">
        <v>14</v>
      </c>
      <c r="G485">
        <v>100</v>
      </c>
      <c r="H485">
        <v>2</v>
      </c>
      <c r="I485" s="16">
        <f t="shared" si="75"/>
        <v>200</v>
      </c>
      <c r="J485">
        <v>0</v>
      </c>
      <c r="K485">
        <f t="shared" si="76"/>
        <v>0</v>
      </c>
      <c r="L485">
        <f t="shared" si="83"/>
        <v>2</v>
      </c>
      <c r="M485">
        <f t="shared" si="77"/>
        <v>200</v>
      </c>
      <c r="N485">
        <f t="shared" si="78"/>
        <v>50</v>
      </c>
      <c r="O485">
        <f t="shared" si="79"/>
        <v>150</v>
      </c>
      <c r="R485" s="21" t="str">
        <f t="shared" ref="R485:R487" si="84">_xlfn.TEXTJOIN("  by ",TRUE,B484,C484)</f>
        <v>Thoduvaanam Varaiyil...  by Lakshmi</v>
      </c>
    </row>
    <row r="486" spans="1:18" ht="18.3" x14ac:dyDescent="0.4">
      <c r="A486">
        <v>10579</v>
      </c>
      <c r="B486" t="s">
        <v>1030</v>
      </c>
      <c r="C486" t="s">
        <v>872</v>
      </c>
      <c r="D486" t="s">
        <v>1031</v>
      </c>
      <c r="E486" t="s">
        <v>13</v>
      </c>
      <c r="F486" t="s">
        <v>14</v>
      </c>
      <c r="G486">
        <v>70</v>
      </c>
      <c r="H486">
        <v>2</v>
      </c>
      <c r="I486" s="16">
        <f t="shared" si="75"/>
        <v>140</v>
      </c>
      <c r="J486">
        <v>1</v>
      </c>
      <c r="K486">
        <f t="shared" si="76"/>
        <v>70</v>
      </c>
      <c r="L486">
        <f t="shared" si="83"/>
        <v>1</v>
      </c>
      <c r="M486">
        <f t="shared" si="77"/>
        <v>70</v>
      </c>
      <c r="N486">
        <f t="shared" si="78"/>
        <v>17.5</v>
      </c>
      <c r="O486">
        <f t="shared" si="79"/>
        <v>52.5</v>
      </c>
      <c r="R486" s="21" t="str">
        <f t="shared" si="84"/>
        <v>Thunai Thedum Pothu  by Lakshmi</v>
      </c>
    </row>
    <row r="487" spans="1:18" ht="18.3" x14ac:dyDescent="0.4">
      <c r="A487">
        <v>8704</v>
      </c>
      <c r="B487" t="s">
        <v>1032</v>
      </c>
      <c r="C487" t="s">
        <v>872</v>
      </c>
      <c r="D487" t="s">
        <v>1033</v>
      </c>
      <c r="E487" t="s">
        <v>13</v>
      </c>
      <c r="F487" t="s">
        <v>14</v>
      </c>
      <c r="G487">
        <v>200</v>
      </c>
      <c r="H487">
        <v>2</v>
      </c>
      <c r="I487" s="16">
        <f t="shared" si="75"/>
        <v>400</v>
      </c>
      <c r="J487">
        <v>1</v>
      </c>
      <c r="K487">
        <f t="shared" si="76"/>
        <v>200</v>
      </c>
      <c r="L487">
        <f t="shared" si="83"/>
        <v>1</v>
      </c>
      <c r="M487">
        <f t="shared" si="77"/>
        <v>200</v>
      </c>
      <c r="N487">
        <f t="shared" si="78"/>
        <v>50</v>
      </c>
      <c r="O487">
        <f t="shared" si="79"/>
        <v>150</v>
      </c>
      <c r="R487" s="21" t="str">
        <f t="shared" si="84"/>
        <v>Unmai Oomaiyalla  by Lakshmi</v>
      </c>
    </row>
    <row r="488" spans="1:18" hidden="1" x14ac:dyDescent="0.3">
      <c r="A488">
        <v>10876</v>
      </c>
      <c r="B488" t="s">
        <v>1034</v>
      </c>
      <c r="C488" t="s">
        <v>872</v>
      </c>
      <c r="D488" t="s">
        <v>1035</v>
      </c>
      <c r="E488" t="s">
        <v>13</v>
      </c>
      <c r="F488" t="s">
        <v>14</v>
      </c>
      <c r="G488">
        <v>90</v>
      </c>
      <c r="H488">
        <v>2</v>
      </c>
      <c r="I488" s="16">
        <f t="shared" si="75"/>
        <v>180</v>
      </c>
      <c r="J488">
        <v>2</v>
      </c>
      <c r="K488">
        <f t="shared" si="76"/>
        <v>180</v>
      </c>
      <c r="L488">
        <f t="shared" si="83"/>
        <v>0</v>
      </c>
      <c r="M488">
        <f t="shared" si="77"/>
        <v>0</v>
      </c>
      <c r="N488">
        <f t="shared" si="78"/>
        <v>0</v>
      </c>
      <c r="O488">
        <f t="shared" si="79"/>
        <v>0</v>
      </c>
    </row>
    <row r="489" spans="1:18" ht="18.3" x14ac:dyDescent="0.4">
      <c r="A489">
        <v>11007</v>
      </c>
      <c r="B489" t="s">
        <v>1036</v>
      </c>
      <c r="C489" t="s">
        <v>872</v>
      </c>
      <c r="D489" t="s">
        <v>1037</v>
      </c>
      <c r="E489" t="s">
        <v>13</v>
      </c>
      <c r="F489" t="s">
        <v>14</v>
      </c>
      <c r="G489">
        <v>310</v>
      </c>
      <c r="H489">
        <v>2</v>
      </c>
      <c r="I489" s="16">
        <f t="shared" si="75"/>
        <v>620</v>
      </c>
      <c r="J489">
        <v>0</v>
      </c>
      <c r="K489">
        <f t="shared" si="76"/>
        <v>0</v>
      </c>
      <c r="L489">
        <f t="shared" si="83"/>
        <v>2</v>
      </c>
      <c r="M489">
        <f t="shared" si="77"/>
        <v>620</v>
      </c>
      <c r="N489">
        <f t="shared" si="78"/>
        <v>155</v>
      </c>
      <c r="O489">
        <f t="shared" si="79"/>
        <v>465</v>
      </c>
      <c r="R489" s="21" t="str">
        <f t="shared" ref="R489:R491" si="85">_xlfn.TEXTJOIN("  by ",TRUE,B488,C488)</f>
        <v>Uravu Solli Kondu...  by Lakshmi</v>
      </c>
    </row>
    <row r="490" spans="1:18" ht="18.3" x14ac:dyDescent="0.4">
      <c r="A490">
        <v>9211</v>
      </c>
      <c r="B490" t="s">
        <v>1038</v>
      </c>
      <c r="C490" t="s">
        <v>872</v>
      </c>
      <c r="D490" t="s">
        <v>1039</v>
      </c>
      <c r="E490" t="s">
        <v>13</v>
      </c>
      <c r="F490" t="s">
        <v>14</v>
      </c>
      <c r="G490">
        <v>110</v>
      </c>
      <c r="H490">
        <v>2</v>
      </c>
      <c r="I490" s="16">
        <f t="shared" si="75"/>
        <v>220</v>
      </c>
      <c r="J490">
        <v>1</v>
      </c>
      <c r="K490">
        <f t="shared" si="76"/>
        <v>110</v>
      </c>
      <c r="L490">
        <f t="shared" si="83"/>
        <v>1</v>
      </c>
      <c r="M490">
        <f t="shared" si="77"/>
        <v>110</v>
      </c>
      <c r="N490">
        <f t="shared" si="78"/>
        <v>27.5</v>
      </c>
      <c r="O490">
        <f t="shared" si="79"/>
        <v>82.5</v>
      </c>
      <c r="R490" s="21" t="str">
        <f t="shared" si="85"/>
        <v>Vaanam Paadikku Oru Vilangu  by Lakshmi</v>
      </c>
    </row>
    <row r="491" spans="1:18" ht="18.3" x14ac:dyDescent="0.4">
      <c r="A491">
        <v>8543</v>
      </c>
      <c r="B491" t="s">
        <v>1040</v>
      </c>
      <c r="C491" t="s">
        <v>872</v>
      </c>
      <c r="D491" t="s">
        <v>1041</v>
      </c>
      <c r="E491" t="s">
        <v>13</v>
      </c>
      <c r="F491" t="s">
        <v>14</v>
      </c>
      <c r="G491">
        <v>170</v>
      </c>
      <c r="H491">
        <v>2</v>
      </c>
      <c r="I491" s="16">
        <f t="shared" si="75"/>
        <v>340</v>
      </c>
      <c r="J491">
        <v>1</v>
      </c>
      <c r="K491">
        <f t="shared" si="76"/>
        <v>170</v>
      </c>
      <c r="L491">
        <f t="shared" si="83"/>
        <v>1</v>
      </c>
      <c r="M491">
        <f t="shared" si="77"/>
        <v>170</v>
      </c>
      <c r="N491">
        <f t="shared" si="78"/>
        <v>42.5</v>
      </c>
      <c r="O491">
        <f t="shared" si="79"/>
        <v>127.5</v>
      </c>
      <c r="R491" s="21" t="str">
        <f t="shared" si="85"/>
        <v>Vadakke Oru Santhippu  by Lakshmi</v>
      </c>
    </row>
    <row r="492" spans="1:18" hidden="1" x14ac:dyDescent="0.3">
      <c r="A492">
        <v>10936</v>
      </c>
      <c r="B492" t="s">
        <v>1042</v>
      </c>
      <c r="C492" t="s">
        <v>872</v>
      </c>
      <c r="D492" t="s">
        <v>1043</v>
      </c>
      <c r="E492" t="s">
        <v>13</v>
      </c>
      <c r="F492" t="s">
        <v>14</v>
      </c>
      <c r="G492">
        <v>80</v>
      </c>
      <c r="H492">
        <v>2</v>
      </c>
      <c r="I492" s="16">
        <f t="shared" si="75"/>
        <v>160</v>
      </c>
      <c r="J492">
        <v>2</v>
      </c>
      <c r="K492">
        <f t="shared" si="76"/>
        <v>160</v>
      </c>
      <c r="L492">
        <f t="shared" si="83"/>
        <v>0</v>
      </c>
      <c r="M492">
        <f t="shared" si="77"/>
        <v>0</v>
      </c>
      <c r="N492">
        <f t="shared" si="78"/>
        <v>0</v>
      </c>
      <c r="O492">
        <f t="shared" si="79"/>
        <v>0</v>
      </c>
    </row>
    <row r="493" spans="1:18" hidden="1" x14ac:dyDescent="0.3">
      <c r="A493">
        <v>11017</v>
      </c>
      <c r="B493" t="s">
        <v>1044</v>
      </c>
      <c r="C493" t="s">
        <v>872</v>
      </c>
      <c r="D493" t="s">
        <v>1045</v>
      </c>
      <c r="E493" t="s">
        <v>13</v>
      </c>
      <c r="F493" t="s">
        <v>14</v>
      </c>
      <c r="G493">
        <v>90</v>
      </c>
      <c r="H493">
        <v>2</v>
      </c>
      <c r="I493" s="16">
        <f t="shared" si="75"/>
        <v>180</v>
      </c>
      <c r="J493">
        <v>2</v>
      </c>
      <c r="K493">
        <f t="shared" si="76"/>
        <v>180</v>
      </c>
      <c r="L493">
        <f t="shared" si="83"/>
        <v>0</v>
      </c>
      <c r="M493">
        <f t="shared" si="77"/>
        <v>0</v>
      </c>
      <c r="N493">
        <f t="shared" si="78"/>
        <v>0</v>
      </c>
      <c r="O493">
        <f t="shared" si="79"/>
        <v>0</v>
      </c>
    </row>
    <row r="494" spans="1:18" hidden="1" x14ac:dyDescent="0.3">
      <c r="A494">
        <v>8776</v>
      </c>
      <c r="B494" t="s">
        <v>1046</v>
      </c>
      <c r="C494" t="s">
        <v>872</v>
      </c>
      <c r="D494" t="s">
        <v>1047</v>
      </c>
      <c r="E494" t="s">
        <v>13</v>
      </c>
      <c r="F494" t="s">
        <v>14</v>
      </c>
      <c r="G494">
        <v>160</v>
      </c>
      <c r="H494">
        <v>2</v>
      </c>
      <c r="I494" s="16">
        <f t="shared" si="75"/>
        <v>320</v>
      </c>
      <c r="J494">
        <v>2</v>
      </c>
      <c r="K494">
        <f t="shared" si="76"/>
        <v>320</v>
      </c>
      <c r="L494">
        <f t="shared" si="83"/>
        <v>0</v>
      </c>
      <c r="M494">
        <f t="shared" si="77"/>
        <v>0</v>
      </c>
      <c r="N494">
        <f t="shared" si="78"/>
        <v>0</v>
      </c>
      <c r="O494">
        <f t="shared" si="79"/>
        <v>0</v>
      </c>
    </row>
    <row r="495" spans="1:18" ht="18.3" x14ac:dyDescent="0.4">
      <c r="A495">
        <v>11016</v>
      </c>
      <c r="B495" t="s">
        <v>1048</v>
      </c>
      <c r="C495" t="s">
        <v>872</v>
      </c>
      <c r="D495" t="s">
        <v>1049</v>
      </c>
      <c r="E495" t="s">
        <v>13</v>
      </c>
      <c r="F495" t="s">
        <v>14</v>
      </c>
      <c r="G495">
        <v>230</v>
      </c>
      <c r="H495">
        <v>2</v>
      </c>
      <c r="I495" s="16">
        <f t="shared" si="75"/>
        <v>460</v>
      </c>
      <c r="J495">
        <v>0</v>
      </c>
      <c r="K495">
        <f t="shared" si="76"/>
        <v>0</v>
      </c>
      <c r="L495">
        <f t="shared" si="83"/>
        <v>2</v>
      </c>
      <c r="M495">
        <f t="shared" si="77"/>
        <v>460</v>
      </c>
      <c r="N495">
        <f t="shared" si="78"/>
        <v>115</v>
      </c>
      <c r="O495">
        <f t="shared" si="79"/>
        <v>345</v>
      </c>
      <c r="R495" s="21" t="str">
        <f t="shared" ref="R495:R497" si="86">_xlfn.TEXTJOIN("  by ",TRUE,B494,C494)</f>
        <v>Vazha Ninaithaal  by Lakshmi</v>
      </c>
    </row>
    <row r="496" spans="1:18" ht="18.3" x14ac:dyDescent="0.4">
      <c r="A496">
        <v>8544</v>
      </c>
      <c r="B496" t="s">
        <v>1050</v>
      </c>
      <c r="C496" t="s">
        <v>872</v>
      </c>
      <c r="D496" t="s">
        <v>1051</v>
      </c>
      <c r="E496" t="s">
        <v>13</v>
      </c>
      <c r="F496" t="s">
        <v>14</v>
      </c>
      <c r="G496">
        <v>130</v>
      </c>
      <c r="H496">
        <v>2</v>
      </c>
      <c r="I496" s="16">
        <f t="shared" si="75"/>
        <v>260</v>
      </c>
      <c r="J496">
        <v>1</v>
      </c>
      <c r="K496">
        <f t="shared" si="76"/>
        <v>130</v>
      </c>
      <c r="L496">
        <f t="shared" si="83"/>
        <v>1</v>
      </c>
      <c r="M496">
        <f t="shared" si="77"/>
        <v>130</v>
      </c>
      <c r="N496">
        <f t="shared" si="78"/>
        <v>32.5</v>
      </c>
      <c r="O496">
        <f t="shared" si="79"/>
        <v>97.5</v>
      </c>
      <c r="R496" s="21" t="str">
        <f t="shared" si="86"/>
        <v>Veena Oru Veenai  by Lakshmi</v>
      </c>
    </row>
    <row r="497" spans="1:18" ht="18.3" x14ac:dyDescent="0.4">
      <c r="A497">
        <v>11011</v>
      </c>
      <c r="B497" t="s">
        <v>1052</v>
      </c>
      <c r="C497" t="s">
        <v>872</v>
      </c>
      <c r="D497" t="s">
        <v>1053</v>
      </c>
      <c r="E497" t="s">
        <v>13</v>
      </c>
      <c r="F497" t="s">
        <v>14</v>
      </c>
      <c r="G497">
        <v>80</v>
      </c>
      <c r="H497">
        <v>2</v>
      </c>
      <c r="I497" s="16">
        <f t="shared" si="75"/>
        <v>160</v>
      </c>
      <c r="J497">
        <v>0</v>
      </c>
      <c r="K497">
        <f t="shared" si="76"/>
        <v>0</v>
      </c>
      <c r="L497">
        <f t="shared" si="83"/>
        <v>2</v>
      </c>
      <c r="M497">
        <f t="shared" si="77"/>
        <v>160</v>
      </c>
      <c r="N497">
        <f t="shared" si="78"/>
        <v>40</v>
      </c>
      <c r="O497">
        <f t="shared" si="79"/>
        <v>120</v>
      </c>
      <c r="R497" s="21" t="str">
        <f t="shared" si="86"/>
        <v>Velichathai Thedi...  by Lakshmi</v>
      </c>
    </row>
    <row r="498" spans="1:18" hidden="1" x14ac:dyDescent="0.3">
      <c r="A498">
        <v>11006</v>
      </c>
      <c r="B498" t="s">
        <v>1054</v>
      </c>
      <c r="C498" t="s">
        <v>872</v>
      </c>
      <c r="D498" t="s">
        <v>1055</v>
      </c>
      <c r="E498" t="s">
        <v>13</v>
      </c>
      <c r="F498" t="s">
        <v>14</v>
      </c>
      <c r="G498">
        <v>120</v>
      </c>
      <c r="H498">
        <v>2</v>
      </c>
      <c r="I498" s="16">
        <f t="shared" si="75"/>
        <v>240</v>
      </c>
      <c r="J498">
        <v>2</v>
      </c>
      <c r="K498">
        <f t="shared" si="76"/>
        <v>240</v>
      </c>
      <c r="L498">
        <f t="shared" si="83"/>
        <v>0</v>
      </c>
      <c r="M498">
        <f t="shared" si="77"/>
        <v>0</v>
      </c>
      <c r="N498">
        <f t="shared" si="78"/>
        <v>0</v>
      </c>
      <c r="O498">
        <f t="shared" si="79"/>
        <v>0</v>
      </c>
    </row>
    <row r="499" spans="1:18" ht="18.3" x14ac:dyDescent="0.4">
      <c r="A499">
        <v>10578</v>
      </c>
      <c r="B499" t="s">
        <v>1056</v>
      </c>
      <c r="C499" t="s">
        <v>872</v>
      </c>
      <c r="D499" t="s">
        <v>1057</v>
      </c>
      <c r="E499" t="s">
        <v>13</v>
      </c>
      <c r="F499" t="s">
        <v>14</v>
      </c>
      <c r="G499">
        <v>110</v>
      </c>
      <c r="H499">
        <v>2</v>
      </c>
      <c r="I499" s="16">
        <f t="shared" si="75"/>
        <v>220</v>
      </c>
      <c r="J499">
        <v>1</v>
      </c>
      <c r="K499">
        <f t="shared" si="76"/>
        <v>110</v>
      </c>
      <c r="L499">
        <f t="shared" si="83"/>
        <v>1</v>
      </c>
      <c r="M499">
        <f t="shared" si="77"/>
        <v>110</v>
      </c>
      <c r="N499">
        <f t="shared" si="78"/>
        <v>27.5</v>
      </c>
      <c r="O499">
        <f t="shared" si="79"/>
        <v>82.5</v>
      </c>
      <c r="R499" s="21" t="str">
        <f t="shared" ref="R499:R500" si="87">_xlfn.TEXTJOIN("  by ",TRUE,B498,C498)</f>
        <v>Vellai Nirathil Oru Poonai  by Lakshmi</v>
      </c>
    </row>
    <row r="500" spans="1:18" ht="18.3" x14ac:dyDescent="0.4">
      <c r="A500">
        <v>8700</v>
      </c>
      <c r="B500" t="s">
        <v>1058</v>
      </c>
      <c r="C500" t="s">
        <v>872</v>
      </c>
      <c r="D500" t="s">
        <v>1059</v>
      </c>
      <c r="E500" t="s">
        <v>13</v>
      </c>
      <c r="F500" t="s">
        <v>14</v>
      </c>
      <c r="G500">
        <v>110</v>
      </c>
      <c r="H500">
        <v>2</v>
      </c>
      <c r="I500" s="16">
        <f t="shared" si="75"/>
        <v>220</v>
      </c>
      <c r="J500">
        <v>1</v>
      </c>
      <c r="K500">
        <f t="shared" si="76"/>
        <v>110</v>
      </c>
      <c r="L500">
        <f t="shared" si="83"/>
        <v>1</v>
      </c>
      <c r="M500">
        <f t="shared" si="77"/>
        <v>110</v>
      </c>
      <c r="N500">
        <f t="shared" si="78"/>
        <v>27.5</v>
      </c>
      <c r="O500">
        <f t="shared" si="79"/>
        <v>82.5</v>
      </c>
      <c r="R500" s="21" t="str">
        <f t="shared" si="87"/>
        <v>Vidivelli  by Lakshmi</v>
      </c>
    </row>
    <row r="501" spans="1:18" hidden="1" x14ac:dyDescent="0.3">
      <c r="B501" t="s">
        <v>1060</v>
      </c>
      <c r="C501" t="s">
        <v>872</v>
      </c>
      <c r="D501" t="s">
        <v>1061</v>
      </c>
      <c r="E501" t="s">
        <v>13</v>
      </c>
      <c r="F501" t="s">
        <v>14</v>
      </c>
      <c r="G501">
        <v>610</v>
      </c>
      <c r="H501">
        <v>2</v>
      </c>
      <c r="I501" s="16">
        <f t="shared" si="75"/>
        <v>1220</v>
      </c>
      <c r="J501">
        <v>2</v>
      </c>
      <c r="K501">
        <f t="shared" si="76"/>
        <v>1220</v>
      </c>
      <c r="L501">
        <f t="shared" si="83"/>
        <v>0</v>
      </c>
      <c r="M501">
        <f t="shared" si="77"/>
        <v>0</v>
      </c>
      <c r="N501">
        <f t="shared" si="78"/>
        <v>0</v>
      </c>
      <c r="O501">
        <f t="shared" si="79"/>
        <v>0</v>
      </c>
    </row>
    <row r="502" spans="1:18" hidden="1" x14ac:dyDescent="0.3">
      <c r="B502" t="s">
        <v>1062</v>
      </c>
      <c r="C502" t="s">
        <v>872</v>
      </c>
      <c r="D502" t="s">
        <v>1063</v>
      </c>
      <c r="E502" t="s">
        <v>13</v>
      </c>
      <c r="F502" t="s">
        <v>14</v>
      </c>
      <c r="G502">
        <v>410</v>
      </c>
      <c r="H502">
        <v>2</v>
      </c>
      <c r="I502" s="16">
        <f t="shared" si="75"/>
        <v>820</v>
      </c>
      <c r="J502">
        <v>2</v>
      </c>
      <c r="K502">
        <f t="shared" si="76"/>
        <v>820</v>
      </c>
      <c r="L502">
        <f t="shared" si="83"/>
        <v>0</v>
      </c>
      <c r="M502">
        <f t="shared" si="77"/>
        <v>0</v>
      </c>
      <c r="N502">
        <f t="shared" si="78"/>
        <v>0</v>
      </c>
      <c r="O502">
        <f t="shared" si="79"/>
        <v>0</v>
      </c>
    </row>
    <row r="503" spans="1:18" ht="18.3" x14ac:dyDescent="0.4">
      <c r="B503" t="s">
        <v>1064</v>
      </c>
      <c r="C503" t="s">
        <v>872</v>
      </c>
      <c r="D503" t="s">
        <v>1065</v>
      </c>
      <c r="E503" t="s">
        <v>13</v>
      </c>
      <c r="F503" t="s">
        <v>14</v>
      </c>
      <c r="G503">
        <v>270</v>
      </c>
      <c r="H503">
        <v>2</v>
      </c>
      <c r="I503" s="16">
        <f t="shared" si="75"/>
        <v>540</v>
      </c>
      <c r="J503">
        <v>1</v>
      </c>
      <c r="K503">
        <f t="shared" si="76"/>
        <v>270</v>
      </c>
      <c r="L503">
        <f t="shared" si="83"/>
        <v>1</v>
      </c>
      <c r="M503">
        <f t="shared" si="77"/>
        <v>270</v>
      </c>
      <c r="N503">
        <f t="shared" si="78"/>
        <v>67.5</v>
      </c>
      <c r="O503">
        <f t="shared" si="79"/>
        <v>202.5</v>
      </c>
      <c r="R503" s="21" t="str">
        <f>_xlfn.TEXTJOIN("  by ",TRUE,B502,C502)</f>
        <v>Iniya Unarvey Ennai Kollathey  by Lakshmi</v>
      </c>
    </row>
    <row r="504" spans="1:18" hidden="1" x14ac:dyDescent="0.3">
      <c r="B504" t="s">
        <v>1066</v>
      </c>
      <c r="C504" t="s">
        <v>872</v>
      </c>
      <c r="D504" t="s">
        <v>1067</v>
      </c>
      <c r="E504" t="s">
        <v>13</v>
      </c>
      <c r="F504" t="s">
        <v>14</v>
      </c>
      <c r="G504">
        <v>80</v>
      </c>
      <c r="H504">
        <v>2</v>
      </c>
      <c r="I504" s="16">
        <f t="shared" si="75"/>
        <v>160</v>
      </c>
      <c r="J504">
        <v>2</v>
      </c>
      <c r="K504">
        <f t="shared" si="76"/>
        <v>160</v>
      </c>
      <c r="L504">
        <f t="shared" si="83"/>
        <v>0</v>
      </c>
      <c r="M504">
        <f t="shared" si="77"/>
        <v>0</v>
      </c>
      <c r="N504">
        <f t="shared" si="78"/>
        <v>0</v>
      </c>
      <c r="O504">
        <f t="shared" si="79"/>
        <v>0</v>
      </c>
    </row>
    <row r="505" spans="1:18" ht="18.3" x14ac:dyDescent="0.4">
      <c r="B505" t="s">
        <v>1068</v>
      </c>
      <c r="C505" t="s">
        <v>872</v>
      </c>
      <c r="D505" t="s">
        <v>1069</v>
      </c>
      <c r="E505" t="s">
        <v>13</v>
      </c>
      <c r="F505" t="s">
        <v>14</v>
      </c>
      <c r="G505">
        <v>130</v>
      </c>
      <c r="H505">
        <v>2</v>
      </c>
      <c r="I505" s="16">
        <f t="shared" si="75"/>
        <v>260</v>
      </c>
      <c r="J505">
        <v>0</v>
      </c>
      <c r="K505">
        <f t="shared" si="76"/>
        <v>0</v>
      </c>
      <c r="L505">
        <f t="shared" si="83"/>
        <v>2</v>
      </c>
      <c r="M505">
        <f t="shared" si="77"/>
        <v>260</v>
      </c>
      <c r="N505">
        <f t="shared" si="78"/>
        <v>65</v>
      </c>
      <c r="O505">
        <f t="shared" si="79"/>
        <v>195</v>
      </c>
      <c r="R505" s="21" t="str">
        <f t="shared" ref="R505:R507" si="88">_xlfn.TEXTJOIN("  by ",TRUE,B504,C504)</f>
        <v>Radhavin Thirumanam  by Lakshmi</v>
      </c>
    </row>
    <row r="506" spans="1:18" ht="18.3" x14ac:dyDescent="0.4">
      <c r="B506" t="s">
        <v>537</v>
      </c>
      <c r="C506" t="s">
        <v>872</v>
      </c>
      <c r="D506" t="s">
        <v>1070</v>
      </c>
      <c r="E506" t="s">
        <v>13</v>
      </c>
      <c r="F506" t="s">
        <v>14</v>
      </c>
      <c r="G506">
        <v>220</v>
      </c>
      <c r="H506">
        <v>2</v>
      </c>
      <c r="I506" s="16">
        <f t="shared" si="75"/>
        <v>440</v>
      </c>
      <c r="J506">
        <v>0</v>
      </c>
      <c r="K506">
        <f t="shared" si="76"/>
        <v>0</v>
      </c>
      <c r="L506">
        <f t="shared" si="83"/>
        <v>2</v>
      </c>
      <c r="M506">
        <f t="shared" si="77"/>
        <v>440</v>
      </c>
      <c r="N506">
        <f t="shared" si="78"/>
        <v>110</v>
      </c>
      <c r="O506">
        <f t="shared" si="79"/>
        <v>330</v>
      </c>
      <c r="R506" s="21" t="str">
        <f t="shared" si="88"/>
        <v>Marumagal  by Lakshmi</v>
      </c>
    </row>
    <row r="507" spans="1:18" ht="18.3" x14ac:dyDescent="0.4">
      <c r="B507" t="s">
        <v>1071</v>
      </c>
      <c r="C507" t="s">
        <v>872</v>
      </c>
      <c r="D507" t="s">
        <v>1072</v>
      </c>
      <c r="E507" t="s">
        <v>13</v>
      </c>
      <c r="F507" t="s">
        <v>14</v>
      </c>
      <c r="G507">
        <v>120</v>
      </c>
      <c r="H507">
        <v>2</v>
      </c>
      <c r="I507" s="16">
        <f t="shared" si="75"/>
        <v>240</v>
      </c>
      <c r="J507">
        <v>0</v>
      </c>
      <c r="K507">
        <f t="shared" si="76"/>
        <v>0</v>
      </c>
      <c r="L507">
        <f t="shared" si="83"/>
        <v>2</v>
      </c>
      <c r="M507">
        <f t="shared" si="77"/>
        <v>240</v>
      </c>
      <c r="N507">
        <f t="shared" si="78"/>
        <v>60</v>
      </c>
      <c r="O507">
        <f t="shared" si="79"/>
        <v>180</v>
      </c>
      <c r="R507" s="21" t="str">
        <f t="shared" si="88"/>
        <v>Ottrai Natchathiram  by Lakshmi</v>
      </c>
    </row>
    <row r="508" spans="1:18" hidden="1" x14ac:dyDescent="0.3">
      <c r="B508" t="s">
        <v>1073</v>
      </c>
      <c r="C508" t="s">
        <v>872</v>
      </c>
      <c r="D508" t="s">
        <v>1074</v>
      </c>
      <c r="E508" t="s">
        <v>13</v>
      </c>
      <c r="F508" t="s">
        <v>14</v>
      </c>
      <c r="G508">
        <v>150</v>
      </c>
      <c r="H508">
        <v>2</v>
      </c>
      <c r="I508" s="16">
        <f t="shared" si="75"/>
        <v>300</v>
      </c>
      <c r="J508">
        <v>2</v>
      </c>
      <c r="K508">
        <f t="shared" si="76"/>
        <v>300</v>
      </c>
      <c r="L508">
        <f t="shared" si="83"/>
        <v>0</v>
      </c>
      <c r="M508">
        <f t="shared" si="77"/>
        <v>0</v>
      </c>
      <c r="N508">
        <f t="shared" si="78"/>
        <v>0</v>
      </c>
      <c r="O508">
        <f t="shared" si="79"/>
        <v>0</v>
      </c>
    </row>
    <row r="509" spans="1:18" ht="18.3" x14ac:dyDescent="0.4">
      <c r="B509" t="s">
        <v>1075</v>
      </c>
      <c r="C509" t="s">
        <v>872</v>
      </c>
      <c r="D509" t="s">
        <v>1076</v>
      </c>
      <c r="E509" t="s">
        <v>13</v>
      </c>
      <c r="F509" t="s">
        <v>14</v>
      </c>
      <c r="G509">
        <v>160</v>
      </c>
      <c r="H509">
        <v>2</v>
      </c>
      <c r="I509" s="16">
        <f t="shared" si="75"/>
        <v>320</v>
      </c>
      <c r="J509">
        <v>1</v>
      </c>
      <c r="K509">
        <f t="shared" si="76"/>
        <v>160</v>
      </c>
      <c r="L509">
        <f t="shared" si="83"/>
        <v>1</v>
      </c>
      <c r="M509">
        <f t="shared" si="77"/>
        <v>160</v>
      </c>
      <c r="N509">
        <f t="shared" si="78"/>
        <v>40</v>
      </c>
      <c r="O509">
        <f t="shared" si="79"/>
        <v>120</v>
      </c>
      <c r="R509" s="21" t="str">
        <f>_xlfn.TEXTJOIN("  by ",TRUE,B508,C508)</f>
        <v>Avanum Raman Thaan  by Lakshmi</v>
      </c>
    </row>
    <row r="510" spans="1:18" hidden="1" x14ac:dyDescent="0.3">
      <c r="B510" t="s">
        <v>1077</v>
      </c>
      <c r="C510" t="s">
        <v>872</v>
      </c>
      <c r="D510" t="s">
        <v>1078</v>
      </c>
      <c r="E510" t="s">
        <v>13</v>
      </c>
      <c r="F510" t="s">
        <v>14</v>
      </c>
      <c r="G510">
        <v>100</v>
      </c>
      <c r="H510">
        <v>2</v>
      </c>
      <c r="I510" s="16">
        <f t="shared" si="75"/>
        <v>200</v>
      </c>
      <c r="J510">
        <v>2</v>
      </c>
      <c r="K510">
        <f t="shared" si="76"/>
        <v>200</v>
      </c>
      <c r="L510">
        <f t="shared" si="83"/>
        <v>0</v>
      </c>
      <c r="M510">
        <f t="shared" si="77"/>
        <v>0</v>
      </c>
      <c r="N510">
        <f t="shared" si="78"/>
        <v>0</v>
      </c>
      <c r="O510">
        <f t="shared" si="79"/>
        <v>0</v>
      </c>
    </row>
    <row r="511" spans="1:18" ht="18.3" x14ac:dyDescent="0.4">
      <c r="B511" t="s">
        <v>1079</v>
      </c>
      <c r="C511" t="s">
        <v>872</v>
      </c>
      <c r="D511" t="s">
        <v>1080</v>
      </c>
      <c r="E511" t="s">
        <v>13</v>
      </c>
      <c r="F511" t="s">
        <v>14</v>
      </c>
      <c r="G511">
        <v>160</v>
      </c>
      <c r="H511">
        <v>2</v>
      </c>
      <c r="I511" s="16">
        <f t="shared" si="75"/>
        <v>320</v>
      </c>
      <c r="J511">
        <v>0</v>
      </c>
      <c r="K511">
        <f t="shared" si="76"/>
        <v>0</v>
      </c>
      <c r="L511">
        <f t="shared" si="83"/>
        <v>2</v>
      </c>
      <c r="M511">
        <f t="shared" si="77"/>
        <v>320</v>
      </c>
      <c r="N511">
        <f t="shared" si="78"/>
        <v>80</v>
      </c>
      <c r="O511">
        <f t="shared" si="79"/>
        <v>240</v>
      </c>
      <c r="R511" s="21" t="str">
        <f t="shared" ref="R511:R515" si="89">_xlfn.TEXTJOIN("  by ",TRUE,B510,C510)</f>
        <v>Urimai Urangukirathu !  by Lakshmi</v>
      </c>
    </row>
    <row r="512" spans="1:18" ht="18.3" x14ac:dyDescent="0.4">
      <c r="B512" t="s">
        <v>1081</v>
      </c>
      <c r="C512" t="s">
        <v>872</v>
      </c>
      <c r="D512" t="s">
        <v>1082</v>
      </c>
      <c r="E512" t="s">
        <v>13</v>
      </c>
      <c r="F512" t="s">
        <v>14</v>
      </c>
      <c r="G512">
        <v>170</v>
      </c>
      <c r="H512">
        <v>2</v>
      </c>
      <c r="I512" s="16">
        <f t="shared" si="75"/>
        <v>340</v>
      </c>
      <c r="J512">
        <v>0</v>
      </c>
      <c r="K512">
        <f t="shared" si="76"/>
        <v>0</v>
      </c>
      <c r="L512">
        <f t="shared" si="83"/>
        <v>2</v>
      </c>
      <c r="M512">
        <f t="shared" si="77"/>
        <v>340</v>
      </c>
      <c r="N512">
        <f t="shared" si="78"/>
        <v>85</v>
      </c>
      <c r="O512">
        <f t="shared" si="79"/>
        <v>255</v>
      </c>
      <c r="R512" s="21" t="str">
        <f t="shared" si="89"/>
        <v>Kadaisi Varai  by Lakshmi</v>
      </c>
    </row>
    <row r="513" spans="1:18" ht="18.3" x14ac:dyDescent="0.4">
      <c r="B513" t="s">
        <v>1083</v>
      </c>
      <c r="C513" t="s">
        <v>872</v>
      </c>
      <c r="D513" t="s">
        <v>1084</v>
      </c>
      <c r="E513" t="s">
        <v>13</v>
      </c>
      <c r="F513" t="s">
        <v>14</v>
      </c>
      <c r="G513">
        <v>130</v>
      </c>
      <c r="H513">
        <v>2</v>
      </c>
      <c r="I513" s="16">
        <f t="shared" si="75"/>
        <v>260</v>
      </c>
      <c r="J513">
        <v>1</v>
      </c>
      <c r="K513">
        <f t="shared" si="76"/>
        <v>130</v>
      </c>
      <c r="L513">
        <f t="shared" si="83"/>
        <v>1</v>
      </c>
      <c r="M513">
        <f t="shared" si="77"/>
        <v>130</v>
      </c>
      <c r="N513">
        <f t="shared" si="78"/>
        <v>32.5</v>
      </c>
      <c r="O513">
        <f t="shared" si="79"/>
        <v>97.5</v>
      </c>
      <c r="R513" s="21" t="str">
        <f t="shared" si="89"/>
        <v>Nigazh Kathaigal  by Lakshmi</v>
      </c>
    </row>
    <row r="514" spans="1:18" ht="18.3" x14ac:dyDescent="0.4">
      <c r="B514" t="s">
        <v>1085</v>
      </c>
      <c r="C514" t="s">
        <v>872</v>
      </c>
      <c r="D514" t="s">
        <v>1086</v>
      </c>
      <c r="E514" t="s">
        <v>13</v>
      </c>
      <c r="F514" t="s">
        <v>14</v>
      </c>
      <c r="G514">
        <v>80</v>
      </c>
      <c r="H514">
        <v>2</v>
      </c>
      <c r="I514" s="16">
        <f t="shared" si="75"/>
        <v>160</v>
      </c>
      <c r="J514">
        <v>1</v>
      </c>
      <c r="K514">
        <f t="shared" si="76"/>
        <v>80</v>
      </c>
      <c r="L514">
        <f t="shared" si="83"/>
        <v>1</v>
      </c>
      <c r="M514">
        <f t="shared" si="77"/>
        <v>80</v>
      </c>
      <c r="N514">
        <f t="shared" si="78"/>
        <v>20</v>
      </c>
      <c r="O514">
        <f t="shared" si="79"/>
        <v>60</v>
      </c>
      <c r="R514" s="21" t="str">
        <f t="shared" si="89"/>
        <v>Aval Oru Thendral  by Lakshmi</v>
      </c>
    </row>
    <row r="515" spans="1:18" ht="18.3" x14ac:dyDescent="0.4">
      <c r="B515" t="s">
        <v>1087</v>
      </c>
      <c r="C515" t="s">
        <v>872</v>
      </c>
      <c r="D515" t="s">
        <v>1088</v>
      </c>
      <c r="E515" t="s">
        <v>13</v>
      </c>
      <c r="F515" t="s">
        <v>14</v>
      </c>
      <c r="G515">
        <v>160</v>
      </c>
      <c r="H515">
        <v>2</v>
      </c>
      <c r="I515" s="16">
        <f t="shared" ref="I515:I578" si="90">H515*G515</f>
        <v>320</v>
      </c>
      <c r="J515">
        <v>0</v>
      </c>
      <c r="K515">
        <f t="shared" ref="K515:K578" si="91">J515*G515</f>
        <v>0</v>
      </c>
      <c r="L515">
        <f t="shared" si="83"/>
        <v>2</v>
      </c>
      <c r="M515">
        <f t="shared" ref="M515:M578" si="92">L515*G515</f>
        <v>320</v>
      </c>
      <c r="N515">
        <f t="shared" ref="N515:N578" si="93">M515*0.25</f>
        <v>80</v>
      </c>
      <c r="O515">
        <f t="shared" ref="O515:O578" si="94">M515-N515</f>
        <v>240</v>
      </c>
      <c r="R515" s="21" t="str">
        <f t="shared" si="89"/>
        <v>Neethikku Kaigal Neelam  by Lakshmi</v>
      </c>
    </row>
    <row r="516" spans="1:18" hidden="1" x14ac:dyDescent="0.3">
      <c r="B516" t="s">
        <v>1089</v>
      </c>
      <c r="C516" t="s">
        <v>872</v>
      </c>
      <c r="D516" t="s">
        <v>1090</v>
      </c>
      <c r="E516" t="s">
        <v>13</v>
      </c>
      <c r="F516" t="s">
        <v>14</v>
      </c>
      <c r="G516">
        <v>120</v>
      </c>
      <c r="H516">
        <v>2</v>
      </c>
      <c r="I516" s="16">
        <f t="shared" si="90"/>
        <v>240</v>
      </c>
      <c r="J516">
        <v>2</v>
      </c>
      <c r="K516">
        <f t="shared" si="91"/>
        <v>240</v>
      </c>
      <c r="L516">
        <f t="shared" si="83"/>
        <v>0</v>
      </c>
      <c r="M516">
        <f t="shared" si="92"/>
        <v>0</v>
      </c>
      <c r="N516">
        <f t="shared" si="93"/>
        <v>0</v>
      </c>
      <c r="O516">
        <f t="shared" si="94"/>
        <v>0</v>
      </c>
    </row>
    <row r="517" spans="1:18" hidden="1" x14ac:dyDescent="0.3">
      <c r="B517" t="s">
        <v>1091</v>
      </c>
      <c r="C517" t="s">
        <v>872</v>
      </c>
      <c r="D517" t="s">
        <v>1092</v>
      </c>
      <c r="E517" t="s">
        <v>13</v>
      </c>
      <c r="F517" t="s">
        <v>14</v>
      </c>
      <c r="G517">
        <v>150</v>
      </c>
      <c r="H517">
        <v>2</v>
      </c>
      <c r="I517" s="16">
        <f t="shared" si="90"/>
        <v>300</v>
      </c>
      <c r="J517">
        <v>2</v>
      </c>
      <c r="K517">
        <f t="shared" si="91"/>
        <v>300</v>
      </c>
      <c r="L517">
        <f t="shared" si="83"/>
        <v>0</v>
      </c>
      <c r="M517">
        <f t="shared" si="92"/>
        <v>0</v>
      </c>
      <c r="N517">
        <f t="shared" si="93"/>
        <v>0</v>
      </c>
      <c r="O517">
        <f t="shared" si="94"/>
        <v>0</v>
      </c>
    </row>
    <row r="518" spans="1:18" hidden="1" x14ac:dyDescent="0.3">
      <c r="B518" t="s">
        <v>1093</v>
      </c>
      <c r="C518" t="s">
        <v>872</v>
      </c>
      <c r="D518" t="s">
        <v>1094</v>
      </c>
      <c r="E518" t="s">
        <v>13</v>
      </c>
      <c r="F518" t="s">
        <v>14</v>
      </c>
      <c r="G518">
        <v>180</v>
      </c>
      <c r="H518">
        <v>2</v>
      </c>
      <c r="I518" s="16">
        <f t="shared" si="90"/>
        <v>360</v>
      </c>
      <c r="J518">
        <v>2</v>
      </c>
      <c r="K518">
        <f t="shared" si="91"/>
        <v>360</v>
      </c>
      <c r="L518">
        <f t="shared" si="83"/>
        <v>0</v>
      </c>
      <c r="M518">
        <f t="shared" si="92"/>
        <v>0</v>
      </c>
      <c r="N518">
        <f t="shared" si="93"/>
        <v>0</v>
      </c>
      <c r="O518">
        <f t="shared" si="94"/>
        <v>0</v>
      </c>
    </row>
    <row r="519" spans="1:18" hidden="1" x14ac:dyDescent="0.3">
      <c r="B519" t="s">
        <v>1095</v>
      </c>
      <c r="C519" t="s">
        <v>872</v>
      </c>
      <c r="D519" t="s">
        <v>1096</v>
      </c>
      <c r="E519" t="s">
        <v>13</v>
      </c>
      <c r="F519" t="s">
        <v>14</v>
      </c>
      <c r="G519">
        <v>100</v>
      </c>
      <c r="H519">
        <v>2</v>
      </c>
      <c r="I519" s="16">
        <f t="shared" si="90"/>
        <v>200</v>
      </c>
      <c r="J519">
        <v>2</v>
      </c>
      <c r="K519">
        <f t="shared" si="91"/>
        <v>200</v>
      </c>
      <c r="L519">
        <f t="shared" si="83"/>
        <v>0</v>
      </c>
      <c r="M519">
        <f t="shared" si="92"/>
        <v>0</v>
      </c>
      <c r="N519">
        <f t="shared" si="93"/>
        <v>0</v>
      </c>
      <c r="O519">
        <f t="shared" si="94"/>
        <v>0</v>
      </c>
    </row>
    <row r="520" spans="1:18" ht="18.3" x14ac:dyDescent="0.4">
      <c r="B520" t="s">
        <v>1097</v>
      </c>
      <c r="C520" t="s">
        <v>872</v>
      </c>
      <c r="D520" t="s">
        <v>1098</v>
      </c>
      <c r="E520" t="s">
        <v>13</v>
      </c>
      <c r="F520" t="s">
        <v>14</v>
      </c>
      <c r="G520">
        <v>490</v>
      </c>
      <c r="H520">
        <v>2</v>
      </c>
      <c r="I520" s="16">
        <f t="shared" si="90"/>
        <v>980</v>
      </c>
      <c r="J520">
        <v>1</v>
      </c>
      <c r="K520">
        <f t="shared" si="91"/>
        <v>490</v>
      </c>
      <c r="L520">
        <f t="shared" si="83"/>
        <v>1</v>
      </c>
      <c r="M520">
        <f t="shared" si="92"/>
        <v>490</v>
      </c>
      <c r="N520">
        <f t="shared" si="93"/>
        <v>122.5</v>
      </c>
      <c r="O520">
        <f t="shared" si="94"/>
        <v>367.5</v>
      </c>
      <c r="R520" s="21" t="str">
        <f>_xlfn.TEXTJOIN("  by ",TRUE,B519,C519)</f>
        <v>Megala  by Lakshmi</v>
      </c>
    </row>
    <row r="521" spans="1:18" hidden="1" x14ac:dyDescent="0.3">
      <c r="B521" t="s">
        <v>1099</v>
      </c>
      <c r="C521" t="s">
        <v>872</v>
      </c>
      <c r="D521" t="s">
        <v>1100</v>
      </c>
      <c r="E521" t="s">
        <v>13</v>
      </c>
      <c r="F521" t="s">
        <v>14</v>
      </c>
      <c r="G521">
        <v>230</v>
      </c>
      <c r="H521">
        <v>2</v>
      </c>
      <c r="I521" s="16">
        <f t="shared" si="90"/>
        <v>460</v>
      </c>
      <c r="J521">
        <v>2</v>
      </c>
      <c r="K521">
        <f t="shared" si="91"/>
        <v>460</v>
      </c>
      <c r="L521">
        <f t="shared" si="83"/>
        <v>0</v>
      </c>
      <c r="M521">
        <f t="shared" si="92"/>
        <v>0</v>
      </c>
      <c r="N521">
        <f t="shared" si="93"/>
        <v>0</v>
      </c>
      <c r="O521">
        <f t="shared" si="94"/>
        <v>0</v>
      </c>
    </row>
    <row r="522" spans="1:18" ht="18.3" x14ac:dyDescent="0.4">
      <c r="B522" t="s">
        <v>1101</v>
      </c>
      <c r="C522" t="s">
        <v>872</v>
      </c>
      <c r="D522" t="s">
        <v>1102</v>
      </c>
      <c r="E522" t="s">
        <v>13</v>
      </c>
      <c r="F522" t="s">
        <v>14</v>
      </c>
      <c r="G522">
        <v>60</v>
      </c>
      <c r="H522">
        <v>2</v>
      </c>
      <c r="I522" s="16">
        <f t="shared" si="90"/>
        <v>120</v>
      </c>
      <c r="J522">
        <v>1</v>
      </c>
      <c r="K522">
        <f t="shared" si="91"/>
        <v>60</v>
      </c>
      <c r="L522">
        <f t="shared" si="83"/>
        <v>1</v>
      </c>
      <c r="M522">
        <f t="shared" si="92"/>
        <v>60</v>
      </c>
      <c r="N522">
        <f t="shared" si="93"/>
        <v>15</v>
      </c>
      <c r="O522">
        <f t="shared" si="94"/>
        <v>45</v>
      </c>
      <c r="R522" s="21" t="str">
        <f t="shared" ref="R522:R526" si="95">_xlfn.TEXTJOIN("  by ",TRUE,B521,C521)</f>
        <v>Meendum Penn Manam  by Lakshmi</v>
      </c>
    </row>
    <row r="523" spans="1:18" ht="18.3" x14ac:dyDescent="0.4">
      <c r="B523" t="s">
        <v>1103</v>
      </c>
      <c r="C523" t="s">
        <v>872</v>
      </c>
      <c r="D523" t="s">
        <v>1104</v>
      </c>
      <c r="E523" t="s">
        <v>13</v>
      </c>
      <c r="F523" t="s">
        <v>14</v>
      </c>
      <c r="G523">
        <v>100</v>
      </c>
      <c r="H523">
        <v>2</v>
      </c>
      <c r="I523" s="16">
        <f t="shared" si="90"/>
        <v>200</v>
      </c>
      <c r="J523">
        <v>1</v>
      </c>
      <c r="K523">
        <f t="shared" si="91"/>
        <v>100</v>
      </c>
      <c r="L523">
        <f t="shared" si="83"/>
        <v>1</v>
      </c>
      <c r="M523">
        <f t="shared" si="92"/>
        <v>100</v>
      </c>
      <c r="N523">
        <f t="shared" si="93"/>
        <v>25</v>
      </c>
      <c r="O523">
        <f t="shared" si="94"/>
        <v>75</v>
      </c>
      <c r="R523" s="21" t="str">
        <f t="shared" si="95"/>
        <v>Ivanum Oru Parasuraman  by Lakshmi</v>
      </c>
    </row>
    <row r="524" spans="1:18" ht="18.3" x14ac:dyDescent="0.4">
      <c r="B524" t="s">
        <v>1105</v>
      </c>
      <c r="C524" t="s">
        <v>872</v>
      </c>
      <c r="D524" t="s">
        <v>1106</v>
      </c>
      <c r="E524" t="s">
        <v>13</v>
      </c>
      <c r="F524" t="s">
        <v>14</v>
      </c>
      <c r="G524">
        <v>210</v>
      </c>
      <c r="H524">
        <v>2</v>
      </c>
      <c r="I524" s="16">
        <f t="shared" si="90"/>
        <v>420</v>
      </c>
      <c r="J524">
        <v>1</v>
      </c>
      <c r="K524">
        <f t="shared" si="91"/>
        <v>210</v>
      </c>
      <c r="L524">
        <f t="shared" si="83"/>
        <v>1</v>
      </c>
      <c r="M524">
        <f t="shared" si="92"/>
        <v>210</v>
      </c>
      <c r="N524">
        <f t="shared" si="93"/>
        <v>52.5</v>
      </c>
      <c r="O524">
        <f t="shared" si="94"/>
        <v>157.5</v>
      </c>
      <c r="R524" s="21" t="str">
        <f t="shared" si="95"/>
        <v>Irandu Pengal  by Lakshmi</v>
      </c>
    </row>
    <row r="525" spans="1:18" ht="18.3" x14ac:dyDescent="0.4">
      <c r="B525" t="s">
        <v>1107</v>
      </c>
      <c r="C525" t="s">
        <v>872</v>
      </c>
      <c r="D525" t="s">
        <v>1108</v>
      </c>
      <c r="E525" t="s">
        <v>13</v>
      </c>
      <c r="F525" t="s">
        <v>14</v>
      </c>
      <c r="G525">
        <v>90</v>
      </c>
      <c r="H525">
        <v>2</v>
      </c>
      <c r="I525" s="16">
        <f t="shared" si="90"/>
        <v>180</v>
      </c>
      <c r="J525">
        <v>0</v>
      </c>
      <c r="K525">
        <f t="shared" si="91"/>
        <v>0</v>
      </c>
      <c r="L525">
        <f t="shared" si="83"/>
        <v>2</v>
      </c>
      <c r="M525">
        <f t="shared" si="92"/>
        <v>180</v>
      </c>
      <c r="N525">
        <f t="shared" si="93"/>
        <v>45</v>
      </c>
      <c r="O525">
        <f t="shared" si="94"/>
        <v>135</v>
      </c>
      <c r="R525" s="21" t="str">
        <f t="shared" si="95"/>
        <v>Vilvandi  by Lakshmi</v>
      </c>
    </row>
    <row r="526" spans="1:18" ht="18.3" x14ac:dyDescent="0.4">
      <c r="A526">
        <v>8035</v>
      </c>
      <c r="B526" t="s">
        <v>1109</v>
      </c>
      <c r="C526" t="s">
        <v>1110</v>
      </c>
      <c r="D526" t="s">
        <v>1111</v>
      </c>
      <c r="E526" t="s">
        <v>13</v>
      </c>
      <c r="F526" t="s">
        <v>39</v>
      </c>
      <c r="G526">
        <v>160</v>
      </c>
      <c r="H526">
        <v>2</v>
      </c>
      <c r="I526" s="16">
        <f t="shared" si="90"/>
        <v>320</v>
      </c>
      <c r="J526">
        <v>1</v>
      </c>
      <c r="K526">
        <f t="shared" si="91"/>
        <v>160</v>
      </c>
      <c r="L526">
        <f t="shared" si="83"/>
        <v>1</v>
      </c>
      <c r="M526">
        <f t="shared" si="92"/>
        <v>160</v>
      </c>
      <c r="N526">
        <f t="shared" si="93"/>
        <v>40</v>
      </c>
      <c r="O526">
        <f t="shared" si="94"/>
        <v>120</v>
      </c>
      <c r="R526" s="21" t="str">
        <f t="shared" si="95"/>
        <v>Uyarvu  by Lakshmi</v>
      </c>
    </row>
    <row r="527" spans="1:18" hidden="1" x14ac:dyDescent="0.3">
      <c r="A527">
        <v>6512</v>
      </c>
      <c r="B527" t="s">
        <v>1112</v>
      </c>
      <c r="C527" t="s">
        <v>1110</v>
      </c>
      <c r="D527" t="s">
        <v>1113</v>
      </c>
      <c r="E527" t="s">
        <v>13</v>
      </c>
      <c r="F527" t="s">
        <v>14</v>
      </c>
      <c r="G527">
        <v>300</v>
      </c>
      <c r="H527">
        <v>2</v>
      </c>
      <c r="I527" s="16">
        <f t="shared" si="90"/>
        <v>600</v>
      </c>
      <c r="J527">
        <v>2</v>
      </c>
      <c r="K527">
        <f t="shared" si="91"/>
        <v>600</v>
      </c>
      <c r="L527">
        <f t="shared" si="83"/>
        <v>0</v>
      </c>
      <c r="M527">
        <f t="shared" si="92"/>
        <v>0</v>
      </c>
      <c r="N527">
        <f t="shared" si="93"/>
        <v>0</v>
      </c>
      <c r="O527">
        <f t="shared" si="94"/>
        <v>0</v>
      </c>
    </row>
    <row r="528" spans="1:18" hidden="1" x14ac:dyDescent="0.3">
      <c r="A528">
        <v>6953</v>
      </c>
      <c r="B528" t="s">
        <v>1114</v>
      </c>
      <c r="C528" t="s">
        <v>1110</v>
      </c>
      <c r="D528" t="s">
        <v>1115</v>
      </c>
      <c r="E528" t="s">
        <v>13</v>
      </c>
      <c r="F528" t="s">
        <v>39</v>
      </c>
      <c r="G528">
        <v>340</v>
      </c>
      <c r="H528">
        <v>2</v>
      </c>
      <c r="I528" s="16">
        <f t="shared" si="90"/>
        <v>680</v>
      </c>
      <c r="J528">
        <v>2</v>
      </c>
      <c r="K528">
        <f t="shared" si="91"/>
        <v>680</v>
      </c>
      <c r="L528">
        <f t="shared" si="83"/>
        <v>0</v>
      </c>
      <c r="M528">
        <f t="shared" si="92"/>
        <v>0</v>
      </c>
      <c r="N528">
        <f t="shared" si="93"/>
        <v>0</v>
      </c>
      <c r="O528">
        <f t="shared" si="94"/>
        <v>0</v>
      </c>
    </row>
    <row r="529" spans="1:18" hidden="1" x14ac:dyDescent="0.3">
      <c r="A529">
        <v>9167</v>
      </c>
      <c r="B529" t="s">
        <v>1116</v>
      </c>
      <c r="C529" t="s">
        <v>1110</v>
      </c>
      <c r="D529" t="s">
        <v>1117</v>
      </c>
      <c r="E529" t="s">
        <v>13</v>
      </c>
      <c r="F529" t="s">
        <v>39</v>
      </c>
      <c r="G529">
        <v>160</v>
      </c>
      <c r="H529">
        <v>2</v>
      </c>
      <c r="I529" s="16">
        <f t="shared" si="90"/>
        <v>320</v>
      </c>
      <c r="J529">
        <v>2</v>
      </c>
      <c r="K529">
        <f t="shared" si="91"/>
        <v>320</v>
      </c>
      <c r="L529">
        <f t="shared" si="83"/>
        <v>0</v>
      </c>
      <c r="M529">
        <f t="shared" si="92"/>
        <v>0</v>
      </c>
      <c r="N529">
        <f t="shared" si="93"/>
        <v>0</v>
      </c>
      <c r="O529">
        <f t="shared" si="94"/>
        <v>0</v>
      </c>
    </row>
    <row r="530" spans="1:18" hidden="1" x14ac:dyDescent="0.3">
      <c r="A530">
        <v>8345</v>
      </c>
      <c r="B530" t="s">
        <v>1118</v>
      </c>
      <c r="C530" t="s">
        <v>1110</v>
      </c>
      <c r="D530" t="s">
        <v>1119</v>
      </c>
      <c r="E530" t="s">
        <v>13</v>
      </c>
      <c r="F530" t="s">
        <v>39</v>
      </c>
      <c r="G530">
        <v>140</v>
      </c>
      <c r="H530">
        <v>2</v>
      </c>
      <c r="I530" s="16">
        <f t="shared" si="90"/>
        <v>280</v>
      </c>
      <c r="J530">
        <v>2</v>
      </c>
      <c r="K530">
        <f t="shared" si="91"/>
        <v>280</v>
      </c>
      <c r="L530">
        <f t="shared" si="83"/>
        <v>0</v>
      </c>
      <c r="M530">
        <f t="shared" si="92"/>
        <v>0</v>
      </c>
      <c r="N530">
        <f t="shared" si="93"/>
        <v>0</v>
      </c>
      <c r="O530">
        <f t="shared" si="94"/>
        <v>0</v>
      </c>
    </row>
    <row r="531" spans="1:18" hidden="1" x14ac:dyDescent="0.3">
      <c r="A531">
        <v>8329</v>
      </c>
      <c r="B531" t="s">
        <v>1120</v>
      </c>
      <c r="C531" t="s">
        <v>1110</v>
      </c>
      <c r="D531" t="s">
        <v>1121</v>
      </c>
      <c r="E531" t="s">
        <v>13</v>
      </c>
      <c r="F531" t="s">
        <v>14</v>
      </c>
      <c r="G531">
        <v>150</v>
      </c>
      <c r="H531">
        <v>2</v>
      </c>
      <c r="I531" s="16">
        <f t="shared" si="90"/>
        <v>300</v>
      </c>
      <c r="J531">
        <v>2</v>
      </c>
      <c r="K531">
        <f t="shared" si="91"/>
        <v>300</v>
      </c>
      <c r="L531">
        <f t="shared" si="83"/>
        <v>0</v>
      </c>
      <c r="M531">
        <f t="shared" si="92"/>
        <v>0</v>
      </c>
      <c r="N531">
        <f t="shared" si="93"/>
        <v>0</v>
      </c>
      <c r="O531">
        <f t="shared" si="94"/>
        <v>0</v>
      </c>
    </row>
    <row r="532" spans="1:18" hidden="1" x14ac:dyDescent="0.3">
      <c r="A532">
        <v>9309</v>
      </c>
      <c r="B532" t="s">
        <v>1122</v>
      </c>
      <c r="C532" t="s">
        <v>1110</v>
      </c>
      <c r="D532" t="s">
        <v>1123</v>
      </c>
      <c r="E532" t="s">
        <v>13</v>
      </c>
      <c r="F532" t="s">
        <v>39</v>
      </c>
      <c r="G532">
        <v>140</v>
      </c>
      <c r="H532">
        <v>2</v>
      </c>
      <c r="I532" s="16">
        <f t="shared" si="90"/>
        <v>280</v>
      </c>
      <c r="J532">
        <v>2</v>
      </c>
      <c r="K532">
        <f t="shared" si="91"/>
        <v>280</v>
      </c>
      <c r="L532">
        <f t="shared" si="83"/>
        <v>0</v>
      </c>
      <c r="M532">
        <f t="shared" si="92"/>
        <v>0</v>
      </c>
      <c r="N532">
        <f t="shared" si="93"/>
        <v>0</v>
      </c>
      <c r="O532">
        <f t="shared" si="94"/>
        <v>0</v>
      </c>
    </row>
    <row r="533" spans="1:18" hidden="1" x14ac:dyDescent="0.3">
      <c r="A533">
        <v>8993</v>
      </c>
      <c r="B533" t="s">
        <v>1124</v>
      </c>
      <c r="C533" t="s">
        <v>1125</v>
      </c>
      <c r="D533" t="s">
        <v>1126</v>
      </c>
      <c r="E533" t="s">
        <v>447</v>
      </c>
      <c r="F533" t="s">
        <v>136</v>
      </c>
      <c r="G533">
        <v>100</v>
      </c>
      <c r="H533">
        <v>1</v>
      </c>
      <c r="I533" s="16">
        <f t="shared" si="90"/>
        <v>100</v>
      </c>
      <c r="J533">
        <v>1</v>
      </c>
      <c r="K533">
        <f t="shared" si="91"/>
        <v>100</v>
      </c>
      <c r="L533">
        <f t="shared" si="83"/>
        <v>0</v>
      </c>
      <c r="M533">
        <f t="shared" si="92"/>
        <v>0</v>
      </c>
      <c r="N533">
        <f t="shared" si="93"/>
        <v>0</v>
      </c>
      <c r="O533">
        <f t="shared" si="94"/>
        <v>0</v>
      </c>
    </row>
    <row r="534" spans="1:18" hidden="1" x14ac:dyDescent="0.3">
      <c r="A534">
        <v>9136</v>
      </c>
      <c r="B534" t="s">
        <v>1127</v>
      </c>
      <c r="C534" t="s">
        <v>1125</v>
      </c>
      <c r="D534" t="s">
        <v>1128</v>
      </c>
      <c r="E534" t="s">
        <v>447</v>
      </c>
      <c r="F534" t="s">
        <v>824</v>
      </c>
      <c r="G534">
        <v>150</v>
      </c>
      <c r="H534">
        <v>1</v>
      </c>
      <c r="I534" s="16">
        <f t="shared" si="90"/>
        <v>150</v>
      </c>
      <c r="J534">
        <v>1</v>
      </c>
      <c r="K534">
        <f t="shared" si="91"/>
        <v>150</v>
      </c>
      <c r="L534">
        <f t="shared" si="83"/>
        <v>0</v>
      </c>
      <c r="M534">
        <f t="shared" si="92"/>
        <v>0</v>
      </c>
      <c r="N534">
        <f t="shared" si="93"/>
        <v>0</v>
      </c>
      <c r="O534">
        <f t="shared" si="94"/>
        <v>0</v>
      </c>
    </row>
    <row r="535" spans="1:18" hidden="1" x14ac:dyDescent="0.3">
      <c r="A535">
        <v>9192</v>
      </c>
      <c r="B535" t="s">
        <v>1129</v>
      </c>
      <c r="C535" t="s">
        <v>1125</v>
      </c>
      <c r="D535" t="s">
        <v>1130</v>
      </c>
      <c r="E535" t="s">
        <v>447</v>
      </c>
      <c r="F535" t="s">
        <v>492</v>
      </c>
      <c r="G535">
        <v>150</v>
      </c>
      <c r="H535">
        <v>1</v>
      </c>
      <c r="I535" s="16">
        <f t="shared" si="90"/>
        <v>150</v>
      </c>
      <c r="J535">
        <v>1</v>
      </c>
      <c r="K535">
        <f t="shared" si="91"/>
        <v>150</v>
      </c>
      <c r="L535">
        <f t="shared" si="83"/>
        <v>0</v>
      </c>
      <c r="M535">
        <f t="shared" si="92"/>
        <v>0</v>
      </c>
      <c r="N535">
        <f t="shared" si="93"/>
        <v>0</v>
      </c>
      <c r="O535">
        <f t="shared" si="94"/>
        <v>0</v>
      </c>
    </row>
    <row r="536" spans="1:18" hidden="1" x14ac:dyDescent="0.3">
      <c r="A536">
        <v>8307</v>
      </c>
      <c r="B536" t="s">
        <v>1131</v>
      </c>
      <c r="C536" t="s">
        <v>1125</v>
      </c>
      <c r="D536" t="s">
        <v>1132</v>
      </c>
      <c r="E536" t="s">
        <v>13</v>
      </c>
      <c r="F536" t="s">
        <v>44</v>
      </c>
      <c r="G536">
        <v>140</v>
      </c>
      <c r="H536">
        <v>1</v>
      </c>
      <c r="I536" s="16">
        <f t="shared" si="90"/>
        <v>140</v>
      </c>
      <c r="J536">
        <v>1</v>
      </c>
      <c r="K536">
        <f t="shared" si="91"/>
        <v>140</v>
      </c>
      <c r="L536">
        <f t="shared" si="83"/>
        <v>0</v>
      </c>
      <c r="M536">
        <f t="shared" si="92"/>
        <v>0</v>
      </c>
      <c r="N536">
        <f t="shared" si="93"/>
        <v>0</v>
      </c>
      <c r="O536">
        <f t="shared" si="94"/>
        <v>0</v>
      </c>
    </row>
    <row r="537" spans="1:18" hidden="1" x14ac:dyDescent="0.3">
      <c r="A537">
        <v>8695</v>
      </c>
      <c r="B537" t="s">
        <v>1133</v>
      </c>
      <c r="C537" t="s">
        <v>1125</v>
      </c>
      <c r="D537" t="s">
        <v>1134</v>
      </c>
      <c r="E537" t="s">
        <v>13</v>
      </c>
      <c r="F537" t="s">
        <v>1135</v>
      </c>
      <c r="G537">
        <v>150</v>
      </c>
      <c r="H537">
        <v>1</v>
      </c>
      <c r="I537" s="16">
        <f t="shared" si="90"/>
        <v>150</v>
      </c>
      <c r="J537">
        <v>1</v>
      </c>
      <c r="K537">
        <f t="shared" si="91"/>
        <v>150</v>
      </c>
      <c r="L537">
        <f t="shared" si="83"/>
        <v>0</v>
      </c>
      <c r="M537">
        <f t="shared" si="92"/>
        <v>0</v>
      </c>
      <c r="N537">
        <f t="shared" si="93"/>
        <v>0</v>
      </c>
      <c r="O537">
        <f t="shared" si="94"/>
        <v>0</v>
      </c>
    </row>
    <row r="538" spans="1:18" ht="18.3" x14ac:dyDescent="0.4">
      <c r="A538">
        <v>8686</v>
      </c>
      <c r="B538" t="s">
        <v>1136</v>
      </c>
      <c r="C538" t="s">
        <v>1125</v>
      </c>
      <c r="D538" t="s">
        <v>1137</v>
      </c>
      <c r="E538" t="s">
        <v>13</v>
      </c>
      <c r="F538" t="s">
        <v>1135</v>
      </c>
      <c r="G538">
        <v>130</v>
      </c>
      <c r="H538">
        <v>1</v>
      </c>
      <c r="I538" s="16">
        <f t="shared" si="90"/>
        <v>130</v>
      </c>
      <c r="J538">
        <v>0</v>
      </c>
      <c r="K538">
        <f t="shared" si="91"/>
        <v>0</v>
      </c>
      <c r="L538">
        <f t="shared" si="83"/>
        <v>1</v>
      </c>
      <c r="M538">
        <f t="shared" si="92"/>
        <v>130</v>
      </c>
      <c r="N538">
        <f t="shared" si="93"/>
        <v>32.5</v>
      </c>
      <c r="O538">
        <f t="shared" si="94"/>
        <v>97.5</v>
      </c>
      <c r="R538" s="21" t="str">
        <f>_xlfn.TEXTJOIN("  by ",TRUE,B537,C537)</f>
        <v>Sumeriavil Tamil Yazh! Japanil Saama Vedha Isai!!  by London Swaminathan</v>
      </c>
    </row>
    <row r="539" spans="1:18" hidden="1" x14ac:dyDescent="0.3">
      <c r="A539">
        <v>9066</v>
      </c>
      <c r="B539" t="s">
        <v>1138</v>
      </c>
      <c r="C539" t="s">
        <v>1125</v>
      </c>
      <c r="D539" t="s">
        <v>1139</v>
      </c>
      <c r="E539" t="s">
        <v>447</v>
      </c>
      <c r="F539" t="s">
        <v>824</v>
      </c>
      <c r="G539">
        <v>150</v>
      </c>
      <c r="H539">
        <v>1</v>
      </c>
      <c r="I539" s="16">
        <f t="shared" si="90"/>
        <v>150</v>
      </c>
      <c r="J539">
        <v>1</v>
      </c>
      <c r="K539">
        <f t="shared" si="91"/>
        <v>150</v>
      </c>
      <c r="L539">
        <f t="shared" si="83"/>
        <v>0</v>
      </c>
      <c r="M539">
        <f t="shared" si="92"/>
        <v>0</v>
      </c>
      <c r="N539">
        <f t="shared" si="93"/>
        <v>0</v>
      </c>
      <c r="O539">
        <f t="shared" si="94"/>
        <v>0</v>
      </c>
    </row>
    <row r="540" spans="1:18" ht="18.3" x14ac:dyDescent="0.4">
      <c r="A540">
        <v>8634</v>
      </c>
      <c r="B540" t="s">
        <v>1140</v>
      </c>
      <c r="C540" t="s">
        <v>1125</v>
      </c>
      <c r="D540" t="s">
        <v>1141</v>
      </c>
      <c r="E540" t="s">
        <v>13</v>
      </c>
      <c r="F540" t="s">
        <v>136</v>
      </c>
      <c r="G540">
        <v>140</v>
      </c>
      <c r="H540">
        <v>1</v>
      </c>
      <c r="I540" s="16">
        <f t="shared" si="90"/>
        <v>140</v>
      </c>
      <c r="J540">
        <v>0</v>
      </c>
      <c r="K540">
        <f t="shared" si="91"/>
        <v>0</v>
      </c>
      <c r="L540">
        <f t="shared" si="83"/>
        <v>1</v>
      </c>
      <c r="M540">
        <f t="shared" si="92"/>
        <v>140</v>
      </c>
      <c r="N540">
        <f t="shared" si="93"/>
        <v>35</v>
      </c>
      <c r="O540">
        <f t="shared" si="94"/>
        <v>105</v>
      </c>
      <c r="R540" s="21" t="str">
        <f>_xlfn.TEXTJOIN("  by ",TRUE,B539,C539)</f>
        <v>The Wonder That Is Hindu Temple  by London Swaminathan</v>
      </c>
    </row>
    <row r="541" spans="1:18" hidden="1" x14ac:dyDescent="0.3">
      <c r="A541">
        <v>5219</v>
      </c>
      <c r="B541" t="s">
        <v>1142</v>
      </c>
      <c r="C541" t="s">
        <v>1143</v>
      </c>
      <c r="D541" t="s">
        <v>1144</v>
      </c>
      <c r="E541" t="s">
        <v>447</v>
      </c>
      <c r="F541" t="s">
        <v>44</v>
      </c>
      <c r="G541">
        <v>140</v>
      </c>
      <c r="H541">
        <v>2</v>
      </c>
      <c r="I541" s="16">
        <f t="shared" si="90"/>
        <v>280</v>
      </c>
      <c r="J541">
        <v>2</v>
      </c>
      <c r="K541">
        <f t="shared" si="91"/>
        <v>280</v>
      </c>
      <c r="L541">
        <f t="shared" si="83"/>
        <v>0</v>
      </c>
      <c r="M541">
        <f t="shared" si="92"/>
        <v>0</v>
      </c>
      <c r="N541">
        <f t="shared" si="93"/>
        <v>0</v>
      </c>
      <c r="O541">
        <f t="shared" si="94"/>
        <v>0</v>
      </c>
    </row>
    <row r="542" spans="1:18" hidden="1" x14ac:dyDescent="0.3">
      <c r="A542">
        <v>5782</v>
      </c>
      <c r="B542" t="s">
        <v>1145</v>
      </c>
      <c r="C542" t="s">
        <v>1143</v>
      </c>
      <c r="D542" t="s">
        <v>1146</v>
      </c>
      <c r="E542" t="s">
        <v>13</v>
      </c>
      <c r="F542" t="s">
        <v>44</v>
      </c>
      <c r="G542">
        <v>60</v>
      </c>
      <c r="H542">
        <v>2</v>
      </c>
      <c r="I542" s="16">
        <f t="shared" si="90"/>
        <v>120</v>
      </c>
      <c r="J542">
        <v>2</v>
      </c>
      <c r="K542">
        <f t="shared" si="91"/>
        <v>120</v>
      </c>
      <c r="L542">
        <f t="shared" si="83"/>
        <v>0</v>
      </c>
      <c r="M542">
        <f t="shared" si="92"/>
        <v>0</v>
      </c>
      <c r="N542">
        <f t="shared" si="93"/>
        <v>0</v>
      </c>
      <c r="O542">
        <f t="shared" si="94"/>
        <v>0</v>
      </c>
    </row>
    <row r="543" spans="1:18" hidden="1" x14ac:dyDescent="0.3">
      <c r="A543">
        <v>8132</v>
      </c>
      <c r="B543" t="s">
        <v>1147</v>
      </c>
      <c r="C543" t="s">
        <v>1143</v>
      </c>
      <c r="D543" t="s">
        <v>1148</v>
      </c>
      <c r="E543" t="s">
        <v>13</v>
      </c>
      <c r="F543" t="s">
        <v>39</v>
      </c>
      <c r="G543">
        <v>190</v>
      </c>
      <c r="H543">
        <v>2</v>
      </c>
      <c r="I543" s="16">
        <f t="shared" si="90"/>
        <v>380</v>
      </c>
      <c r="J543">
        <v>2</v>
      </c>
      <c r="K543">
        <f t="shared" si="91"/>
        <v>380</v>
      </c>
      <c r="L543">
        <f t="shared" si="83"/>
        <v>0</v>
      </c>
      <c r="M543">
        <f t="shared" si="92"/>
        <v>0</v>
      </c>
      <c r="N543">
        <f t="shared" si="93"/>
        <v>0</v>
      </c>
      <c r="O543">
        <f t="shared" si="94"/>
        <v>0</v>
      </c>
    </row>
    <row r="544" spans="1:18" hidden="1" x14ac:dyDescent="0.3">
      <c r="A544">
        <v>11220</v>
      </c>
      <c r="B544" t="s">
        <v>1149</v>
      </c>
      <c r="C544" t="s">
        <v>1143</v>
      </c>
      <c r="D544" t="s">
        <v>1150</v>
      </c>
      <c r="E544" t="s">
        <v>13</v>
      </c>
      <c r="F544" t="s">
        <v>44</v>
      </c>
      <c r="G544">
        <v>80</v>
      </c>
      <c r="H544">
        <v>2</v>
      </c>
      <c r="I544" s="16">
        <f t="shared" si="90"/>
        <v>160</v>
      </c>
      <c r="J544">
        <v>2</v>
      </c>
      <c r="K544">
        <f t="shared" si="91"/>
        <v>160</v>
      </c>
      <c r="L544">
        <f t="shared" si="83"/>
        <v>0</v>
      </c>
      <c r="M544">
        <f t="shared" si="92"/>
        <v>0</v>
      </c>
      <c r="N544">
        <f t="shared" si="93"/>
        <v>0</v>
      </c>
      <c r="O544">
        <f t="shared" si="94"/>
        <v>0</v>
      </c>
    </row>
    <row r="545" spans="1:18" ht="18.3" x14ac:dyDescent="0.4">
      <c r="A545">
        <v>5173</v>
      </c>
      <c r="B545" t="s">
        <v>1151</v>
      </c>
      <c r="C545" t="s">
        <v>1143</v>
      </c>
      <c r="D545" t="s">
        <v>1152</v>
      </c>
      <c r="E545" t="s">
        <v>13</v>
      </c>
      <c r="F545" t="s">
        <v>44</v>
      </c>
      <c r="G545">
        <v>180</v>
      </c>
      <c r="H545">
        <v>2</v>
      </c>
      <c r="I545" s="16">
        <f t="shared" si="90"/>
        <v>360</v>
      </c>
      <c r="J545">
        <v>1</v>
      </c>
      <c r="K545">
        <f t="shared" si="91"/>
        <v>180</v>
      </c>
      <c r="L545">
        <f t="shared" si="83"/>
        <v>1</v>
      </c>
      <c r="M545">
        <f t="shared" si="92"/>
        <v>180</v>
      </c>
      <c r="N545">
        <f t="shared" si="93"/>
        <v>45</v>
      </c>
      <c r="O545">
        <f t="shared" si="94"/>
        <v>135</v>
      </c>
      <c r="R545" s="21" t="str">
        <f>_xlfn.TEXTJOIN("  by ",TRUE,B544,C544)</f>
        <v>Kanal Silambu  by Maalan</v>
      </c>
    </row>
    <row r="546" spans="1:18" hidden="1" x14ac:dyDescent="0.3">
      <c r="A546">
        <v>10269</v>
      </c>
      <c r="B546" t="s">
        <v>1153</v>
      </c>
      <c r="C546" t="s">
        <v>1143</v>
      </c>
      <c r="D546" t="s">
        <v>1154</v>
      </c>
      <c r="E546" t="s">
        <v>13</v>
      </c>
      <c r="F546" t="s">
        <v>44</v>
      </c>
      <c r="G546">
        <v>120</v>
      </c>
      <c r="H546">
        <v>2</v>
      </c>
      <c r="I546" s="16">
        <f t="shared" si="90"/>
        <v>240</v>
      </c>
      <c r="J546">
        <v>2</v>
      </c>
      <c r="K546">
        <f t="shared" si="91"/>
        <v>240</v>
      </c>
      <c r="L546">
        <f t="shared" si="83"/>
        <v>0</v>
      </c>
      <c r="M546">
        <f t="shared" si="92"/>
        <v>0</v>
      </c>
      <c r="N546">
        <f t="shared" si="93"/>
        <v>0</v>
      </c>
      <c r="O546">
        <f t="shared" si="94"/>
        <v>0</v>
      </c>
    </row>
    <row r="547" spans="1:18" ht="18.3" x14ac:dyDescent="0.4">
      <c r="A547">
        <v>2753</v>
      </c>
      <c r="B547" t="s">
        <v>1155</v>
      </c>
      <c r="C547" t="s">
        <v>1143</v>
      </c>
      <c r="D547" t="s">
        <v>1156</v>
      </c>
      <c r="E547" t="s">
        <v>13</v>
      </c>
      <c r="F547" t="s">
        <v>14</v>
      </c>
      <c r="G547">
        <v>130</v>
      </c>
      <c r="H547">
        <v>2</v>
      </c>
      <c r="I547" s="16">
        <f t="shared" si="90"/>
        <v>260</v>
      </c>
      <c r="J547">
        <v>1</v>
      </c>
      <c r="K547">
        <f t="shared" si="91"/>
        <v>130</v>
      </c>
      <c r="L547">
        <f t="shared" si="83"/>
        <v>1</v>
      </c>
      <c r="M547">
        <f t="shared" si="92"/>
        <v>130</v>
      </c>
      <c r="N547">
        <f t="shared" si="93"/>
        <v>32.5</v>
      </c>
      <c r="O547">
        <f t="shared" si="94"/>
        <v>97.5</v>
      </c>
      <c r="R547" s="21" t="str">
        <f>_xlfn.TEXTJOIN("  by ",TRUE,B546,C546)</f>
        <v>Mao Zedong Kavithaigal  by Maalan</v>
      </c>
    </row>
    <row r="548" spans="1:18" hidden="1" x14ac:dyDescent="0.3">
      <c r="A548">
        <v>8488</v>
      </c>
      <c r="B548" t="s">
        <v>1157</v>
      </c>
      <c r="C548" t="s">
        <v>1143</v>
      </c>
      <c r="D548" t="s">
        <v>1158</v>
      </c>
      <c r="E548" t="s">
        <v>13</v>
      </c>
      <c r="F548" t="s">
        <v>44</v>
      </c>
      <c r="G548">
        <v>160</v>
      </c>
      <c r="H548">
        <v>2</v>
      </c>
      <c r="I548" s="16">
        <f t="shared" si="90"/>
        <v>320</v>
      </c>
      <c r="J548">
        <v>2</v>
      </c>
      <c r="K548">
        <f t="shared" si="91"/>
        <v>320</v>
      </c>
      <c r="L548">
        <f t="shared" ref="L548:L611" si="96">H548-J548</f>
        <v>0</v>
      </c>
      <c r="M548">
        <f t="shared" si="92"/>
        <v>0</v>
      </c>
      <c r="N548">
        <f t="shared" si="93"/>
        <v>0</v>
      </c>
      <c r="O548">
        <f t="shared" si="94"/>
        <v>0</v>
      </c>
    </row>
    <row r="549" spans="1:18" hidden="1" x14ac:dyDescent="0.3">
      <c r="A549">
        <v>10052</v>
      </c>
      <c r="B549" t="s">
        <v>1159</v>
      </c>
      <c r="C549" t="s">
        <v>1160</v>
      </c>
      <c r="D549" t="s">
        <v>1161</v>
      </c>
      <c r="E549" t="s">
        <v>13</v>
      </c>
      <c r="F549" t="s">
        <v>144</v>
      </c>
      <c r="G549">
        <v>150</v>
      </c>
      <c r="H549">
        <v>2</v>
      </c>
      <c r="I549" s="16">
        <f t="shared" si="90"/>
        <v>300</v>
      </c>
      <c r="J549">
        <v>2</v>
      </c>
      <c r="K549">
        <f t="shared" si="91"/>
        <v>300</v>
      </c>
      <c r="L549">
        <f t="shared" si="96"/>
        <v>0</v>
      </c>
      <c r="M549">
        <f t="shared" si="92"/>
        <v>0</v>
      </c>
      <c r="N549">
        <f t="shared" si="93"/>
        <v>0</v>
      </c>
      <c r="O549">
        <f t="shared" si="94"/>
        <v>0</v>
      </c>
    </row>
    <row r="550" spans="1:18" hidden="1" x14ac:dyDescent="0.3">
      <c r="A550">
        <v>12502</v>
      </c>
      <c r="B550" t="s">
        <v>1162</v>
      </c>
      <c r="C550" t="s">
        <v>1160</v>
      </c>
      <c r="D550" t="s">
        <v>1163</v>
      </c>
      <c r="E550" t="s">
        <v>13</v>
      </c>
      <c r="F550" t="s">
        <v>44</v>
      </c>
      <c r="G550">
        <v>150</v>
      </c>
      <c r="H550">
        <v>2</v>
      </c>
      <c r="I550" s="16">
        <f t="shared" si="90"/>
        <v>300</v>
      </c>
      <c r="J550">
        <v>2</v>
      </c>
      <c r="K550">
        <f t="shared" si="91"/>
        <v>300</v>
      </c>
      <c r="L550">
        <f t="shared" si="96"/>
        <v>0</v>
      </c>
      <c r="M550">
        <f t="shared" si="92"/>
        <v>0</v>
      </c>
      <c r="N550">
        <f t="shared" si="93"/>
        <v>0</v>
      </c>
      <c r="O550">
        <f t="shared" si="94"/>
        <v>0</v>
      </c>
    </row>
    <row r="551" spans="1:18" hidden="1" x14ac:dyDescent="0.3">
      <c r="A551">
        <v>6360</v>
      </c>
      <c r="B551" t="s">
        <v>1164</v>
      </c>
      <c r="C551" t="s">
        <v>1160</v>
      </c>
      <c r="D551" t="s">
        <v>1165</v>
      </c>
      <c r="E551" t="s">
        <v>13</v>
      </c>
      <c r="F551" t="s">
        <v>144</v>
      </c>
      <c r="G551">
        <v>90</v>
      </c>
      <c r="H551">
        <v>2</v>
      </c>
      <c r="I551" s="16">
        <f t="shared" si="90"/>
        <v>180</v>
      </c>
      <c r="J551">
        <v>2</v>
      </c>
      <c r="K551">
        <f t="shared" si="91"/>
        <v>180</v>
      </c>
      <c r="L551">
        <f t="shared" si="96"/>
        <v>0</v>
      </c>
      <c r="M551">
        <f t="shared" si="92"/>
        <v>0</v>
      </c>
      <c r="N551">
        <f t="shared" si="93"/>
        <v>0</v>
      </c>
      <c r="O551">
        <f t="shared" si="94"/>
        <v>0</v>
      </c>
    </row>
    <row r="552" spans="1:18" hidden="1" x14ac:dyDescent="0.3">
      <c r="A552">
        <v>9554</v>
      </c>
      <c r="B552" t="s">
        <v>1166</v>
      </c>
      <c r="C552" t="s">
        <v>1167</v>
      </c>
      <c r="D552" t="s">
        <v>1168</v>
      </c>
      <c r="E552" t="s">
        <v>13</v>
      </c>
      <c r="F552" t="s">
        <v>136</v>
      </c>
      <c r="G552">
        <v>240</v>
      </c>
      <c r="H552">
        <v>2</v>
      </c>
      <c r="I552" s="16">
        <f t="shared" si="90"/>
        <v>480</v>
      </c>
      <c r="J552">
        <v>2</v>
      </c>
      <c r="K552">
        <f t="shared" si="91"/>
        <v>480</v>
      </c>
      <c r="L552">
        <f t="shared" si="96"/>
        <v>0</v>
      </c>
      <c r="M552">
        <f t="shared" si="92"/>
        <v>0</v>
      </c>
      <c r="N552">
        <f t="shared" si="93"/>
        <v>0</v>
      </c>
      <c r="O552">
        <f t="shared" si="94"/>
        <v>0</v>
      </c>
    </row>
    <row r="553" spans="1:18" hidden="1" x14ac:dyDescent="0.3">
      <c r="A553">
        <v>9552</v>
      </c>
      <c r="B553" t="s">
        <v>1169</v>
      </c>
      <c r="C553" t="s">
        <v>1167</v>
      </c>
      <c r="D553" t="s">
        <v>1170</v>
      </c>
      <c r="E553" t="s">
        <v>13</v>
      </c>
      <c r="F553" t="s">
        <v>136</v>
      </c>
      <c r="G553">
        <v>190</v>
      </c>
      <c r="H553">
        <v>2</v>
      </c>
      <c r="I553" s="16">
        <f t="shared" si="90"/>
        <v>380</v>
      </c>
      <c r="J553">
        <v>2</v>
      </c>
      <c r="K553">
        <f t="shared" si="91"/>
        <v>380</v>
      </c>
      <c r="L553">
        <f t="shared" si="96"/>
        <v>0</v>
      </c>
      <c r="M553">
        <f t="shared" si="92"/>
        <v>0</v>
      </c>
      <c r="N553">
        <f t="shared" si="93"/>
        <v>0</v>
      </c>
      <c r="O553">
        <f t="shared" si="94"/>
        <v>0</v>
      </c>
    </row>
    <row r="554" spans="1:18" ht="18.3" x14ac:dyDescent="0.4">
      <c r="A554">
        <v>11244</v>
      </c>
      <c r="B554" t="s">
        <v>1171</v>
      </c>
      <c r="C554" t="s">
        <v>1172</v>
      </c>
      <c r="D554" t="s">
        <v>1173</v>
      </c>
      <c r="E554" t="s">
        <v>13</v>
      </c>
      <c r="F554" t="s">
        <v>675</v>
      </c>
      <c r="G554">
        <v>650</v>
      </c>
      <c r="H554">
        <v>4</v>
      </c>
      <c r="I554" s="16">
        <f t="shared" si="90"/>
        <v>2600</v>
      </c>
      <c r="J554">
        <v>3</v>
      </c>
      <c r="K554">
        <f t="shared" si="91"/>
        <v>1950</v>
      </c>
      <c r="L554">
        <f t="shared" si="96"/>
        <v>1</v>
      </c>
      <c r="M554">
        <f t="shared" si="92"/>
        <v>650</v>
      </c>
      <c r="N554">
        <f t="shared" si="93"/>
        <v>162.5</v>
      </c>
      <c r="O554">
        <f t="shared" si="94"/>
        <v>487.5</v>
      </c>
      <c r="R554" s="21" t="str">
        <f t="shared" ref="R554:R555" si="97">_xlfn.TEXTJOIN("  by ",TRUE,B553,C553)</f>
        <v>Sangeetha Mahangal  by Mannai Pasanthy</v>
      </c>
    </row>
    <row r="555" spans="1:18" ht="18.3" x14ac:dyDescent="0.4">
      <c r="A555">
        <v>10469</v>
      </c>
      <c r="B555" t="s">
        <v>1174</v>
      </c>
      <c r="C555" t="s">
        <v>1175</v>
      </c>
      <c r="D555" t="s">
        <v>1176</v>
      </c>
      <c r="E555" t="s">
        <v>13</v>
      </c>
      <c r="F555" t="s">
        <v>144</v>
      </c>
      <c r="G555">
        <v>160</v>
      </c>
      <c r="H555">
        <v>2</v>
      </c>
      <c r="I555" s="16">
        <f t="shared" si="90"/>
        <v>320</v>
      </c>
      <c r="J555">
        <v>0</v>
      </c>
      <c r="K555">
        <f t="shared" si="91"/>
        <v>0</v>
      </c>
      <c r="L555">
        <f t="shared" si="96"/>
        <v>2</v>
      </c>
      <c r="M555">
        <f t="shared" si="92"/>
        <v>320</v>
      </c>
      <c r="N555">
        <f t="shared" si="93"/>
        <v>80</v>
      </c>
      <c r="O555">
        <f t="shared" si="94"/>
        <v>240</v>
      </c>
      <c r="R555" s="21" t="str">
        <f t="shared" si="97"/>
        <v>Vinveli Thazhumbugal  by Nambi Narayanan</v>
      </c>
    </row>
    <row r="556" spans="1:18" hidden="1" x14ac:dyDescent="0.3">
      <c r="A556">
        <v>9436</v>
      </c>
      <c r="B556" t="s">
        <v>1177</v>
      </c>
      <c r="C556" t="s">
        <v>1178</v>
      </c>
      <c r="D556" t="s">
        <v>1179</v>
      </c>
      <c r="E556" t="s">
        <v>13</v>
      </c>
      <c r="F556" t="s">
        <v>44</v>
      </c>
      <c r="G556">
        <v>130</v>
      </c>
      <c r="H556">
        <v>2</v>
      </c>
      <c r="I556" s="16">
        <f t="shared" si="90"/>
        <v>260</v>
      </c>
      <c r="J556">
        <v>2</v>
      </c>
      <c r="K556">
        <f t="shared" si="91"/>
        <v>260</v>
      </c>
      <c r="L556">
        <f t="shared" si="96"/>
        <v>0</v>
      </c>
      <c r="M556">
        <f t="shared" si="92"/>
        <v>0</v>
      </c>
      <c r="N556">
        <f t="shared" si="93"/>
        <v>0</v>
      </c>
      <c r="O556">
        <f t="shared" si="94"/>
        <v>0</v>
      </c>
    </row>
    <row r="557" spans="1:18" ht="18.3" x14ac:dyDescent="0.4">
      <c r="A557">
        <v>9440</v>
      </c>
      <c r="B557" t="s">
        <v>1180</v>
      </c>
      <c r="C557" t="s">
        <v>1178</v>
      </c>
      <c r="D557" t="s">
        <v>1181</v>
      </c>
      <c r="E557" t="s">
        <v>13</v>
      </c>
      <c r="F557" t="s">
        <v>1182</v>
      </c>
      <c r="G557">
        <v>90</v>
      </c>
      <c r="H557">
        <v>2</v>
      </c>
      <c r="I557" s="16">
        <f t="shared" si="90"/>
        <v>180</v>
      </c>
      <c r="J557">
        <v>1</v>
      </c>
      <c r="K557">
        <f t="shared" si="91"/>
        <v>90</v>
      </c>
      <c r="L557">
        <f t="shared" si="96"/>
        <v>1</v>
      </c>
      <c r="M557">
        <f t="shared" si="92"/>
        <v>90</v>
      </c>
      <c r="N557">
        <f t="shared" si="93"/>
        <v>22.5</v>
      </c>
      <c r="O557">
        <f t="shared" si="94"/>
        <v>67.5</v>
      </c>
      <c r="R557" s="21" t="str">
        <f>_xlfn.TEXTJOIN("  by ",TRUE,B556,C556)</f>
        <v>Anbudai Nenjam  by Natham S. Suresh Babu</v>
      </c>
    </row>
    <row r="558" spans="1:18" hidden="1" x14ac:dyDescent="0.3">
      <c r="A558">
        <v>9441</v>
      </c>
      <c r="B558" t="s">
        <v>1183</v>
      </c>
      <c r="C558" t="s">
        <v>1178</v>
      </c>
      <c r="D558" t="s">
        <v>1184</v>
      </c>
      <c r="E558" t="s">
        <v>13</v>
      </c>
      <c r="F558" t="s">
        <v>1182</v>
      </c>
      <c r="G558">
        <v>110</v>
      </c>
      <c r="H558">
        <v>2</v>
      </c>
      <c r="I558" s="16">
        <f t="shared" si="90"/>
        <v>220</v>
      </c>
      <c r="J558">
        <v>2</v>
      </c>
      <c r="K558">
        <f t="shared" si="91"/>
        <v>220</v>
      </c>
      <c r="L558">
        <f t="shared" si="96"/>
        <v>0</v>
      </c>
      <c r="M558">
        <f t="shared" si="92"/>
        <v>0</v>
      </c>
      <c r="N558">
        <f t="shared" si="93"/>
        <v>0</v>
      </c>
      <c r="O558">
        <f t="shared" si="94"/>
        <v>0</v>
      </c>
    </row>
    <row r="559" spans="1:18" hidden="1" x14ac:dyDescent="0.3">
      <c r="A559">
        <v>6994</v>
      </c>
      <c r="B559" t="s">
        <v>1185</v>
      </c>
      <c r="C559" t="s">
        <v>1186</v>
      </c>
      <c r="D559" t="s">
        <v>1187</v>
      </c>
      <c r="E559" t="s">
        <v>13</v>
      </c>
      <c r="F559" t="s">
        <v>39</v>
      </c>
      <c r="G559">
        <v>110</v>
      </c>
      <c r="H559">
        <v>2</v>
      </c>
      <c r="I559" s="16">
        <f t="shared" si="90"/>
        <v>220</v>
      </c>
      <c r="J559">
        <v>2</v>
      </c>
      <c r="K559">
        <f t="shared" si="91"/>
        <v>220</v>
      </c>
      <c r="L559">
        <f t="shared" si="96"/>
        <v>0</v>
      </c>
      <c r="M559">
        <f t="shared" si="92"/>
        <v>0</v>
      </c>
      <c r="N559">
        <f t="shared" si="93"/>
        <v>0</v>
      </c>
      <c r="O559">
        <f t="shared" si="94"/>
        <v>0</v>
      </c>
    </row>
    <row r="560" spans="1:18" hidden="1" x14ac:dyDescent="0.3">
      <c r="A560">
        <v>7004</v>
      </c>
      <c r="B560" t="s">
        <v>1188</v>
      </c>
      <c r="C560" t="s">
        <v>1186</v>
      </c>
      <c r="D560" t="s">
        <v>1189</v>
      </c>
      <c r="E560" t="s">
        <v>13</v>
      </c>
      <c r="F560" t="s">
        <v>116</v>
      </c>
      <c r="G560">
        <v>110</v>
      </c>
      <c r="H560">
        <v>2</v>
      </c>
      <c r="I560" s="16">
        <f t="shared" si="90"/>
        <v>220</v>
      </c>
      <c r="J560">
        <v>2</v>
      </c>
      <c r="K560">
        <f t="shared" si="91"/>
        <v>220</v>
      </c>
      <c r="L560">
        <f t="shared" si="96"/>
        <v>0</v>
      </c>
      <c r="M560">
        <f t="shared" si="92"/>
        <v>0</v>
      </c>
      <c r="N560">
        <f t="shared" si="93"/>
        <v>0</v>
      </c>
      <c r="O560">
        <f t="shared" si="94"/>
        <v>0</v>
      </c>
    </row>
    <row r="561" spans="1:18" hidden="1" x14ac:dyDescent="0.3">
      <c r="A561">
        <v>8045</v>
      </c>
      <c r="B561" t="s">
        <v>1190</v>
      </c>
      <c r="C561" t="s">
        <v>1186</v>
      </c>
      <c r="D561" t="s">
        <v>1191</v>
      </c>
      <c r="E561" t="s">
        <v>13</v>
      </c>
      <c r="F561" t="s">
        <v>123</v>
      </c>
      <c r="G561">
        <v>120</v>
      </c>
      <c r="H561">
        <v>2</v>
      </c>
      <c r="I561" s="16">
        <f t="shared" si="90"/>
        <v>240</v>
      </c>
      <c r="J561">
        <v>2</v>
      </c>
      <c r="K561">
        <f t="shared" si="91"/>
        <v>240</v>
      </c>
      <c r="L561">
        <f t="shared" si="96"/>
        <v>0</v>
      </c>
      <c r="M561">
        <f t="shared" si="92"/>
        <v>0</v>
      </c>
      <c r="N561">
        <f t="shared" si="93"/>
        <v>0</v>
      </c>
      <c r="O561">
        <f t="shared" si="94"/>
        <v>0</v>
      </c>
    </row>
    <row r="562" spans="1:18" ht="18.3" x14ac:dyDescent="0.4">
      <c r="A562">
        <v>5493</v>
      </c>
      <c r="B562" t="s">
        <v>1192</v>
      </c>
      <c r="C562" t="s">
        <v>1186</v>
      </c>
      <c r="D562" t="s">
        <v>1193</v>
      </c>
      <c r="E562" t="s">
        <v>13</v>
      </c>
      <c r="F562" t="s">
        <v>116</v>
      </c>
      <c r="G562">
        <v>250</v>
      </c>
      <c r="H562">
        <v>2</v>
      </c>
      <c r="I562" s="16">
        <f t="shared" si="90"/>
        <v>500</v>
      </c>
      <c r="J562">
        <v>1</v>
      </c>
      <c r="K562">
        <f t="shared" si="91"/>
        <v>250</v>
      </c>
      <c r="L562">
        <f t="shared" si="96"/>
        <v>1</v>
      </c>
      <c r="M562">
        <f t="shared" si="92"/>
        <v>250</v>
      </c>
      <c r="N562">
        <f t="shared" si="93"/>
        <v>62.5</v>
      </c>
      <c r="O562">
        <f t="shared" si="94"/>
        <v>187.5</v>
      </c>
      <c r="R562" s="21" t="str">
        <f>_xlfn.TEXTJOIN("  by ",TRUE,B561,C561)</f>
        <v>Aa...!  by Pattukottai Prabakar</v>
      </c>
    </row>
    <row r="563" spans="1:18" hidden="1" x14ac:dyDescent="0.3">
      <c r="A563">
        <v>4573</v>
      </c>
      <c r="B563" t="s">
        <v>1194</v>
      </c>
      <c r="C563" t="s">
        <v>1186</v>
      </c>
      <c r="D563" t="s">
        <v>1195</v>
      </c>
      <c r="E563" t="s">
        <v>13</v>
      </c>
      <c r="F563" t="s">
        <v>44</v>
      </c>
      <c r="G563">
        <v>70</v>
      </c>
      <c r="H563">
        <v>2</v>
      </c>
      <c r="I563" s="16">
        <f t="shared" si="90"/>
        <v>140</v>
      </c>
      <c r="J563">
        <v>2</v>
      </c>
      <c r="K563">
        <f t="shared" si="91"/>
        <v>140</v>
      </c>
      <c r="L563">
        <f t="shared" si="96"/>
        <v>0</v>
      </c>
      <c r="M563">
        <f t="shared" si="92"/>
        <v>0</v>
      </c>
      <c r="N563">
        <f t="shared" si="93"/>
        <v>0</v>
      </c>
      <c r="O563">
        <f t="shared" si="94"/>
        <v>0</v>
      </c>
    </row>
    <row r="564" spans="1:18" hidden="1" x14ac:dyDescent="0.3">
      <c r="A564">
        <v>4587</v>
      </c>
      <c r="B564" t="s">
        <v>1196</v>
      </c>
      <c r="C564" t="s">
        <v>1186</v>
      </c>
      <c r="D564" t="s">
        <v>1197</v>
      </c>
      <c r="E564" t="s">
        <v>13</v>
      </c>
      <c r="F564" t="s">
        <v>44</v>
      </c>
      <c r="G564">
        <v>120</v>
      </c>
      <c r="H564">
        <v>4</v>
      </c>
      <c r="I564" s="16">
        <f t="shared" si="90"/>
        <v>480</v>
      </c>
      <c r="J564">
        <v>4</v>
      </c>
      <c r="K564">
        <f t="shared" si="91"/>
        <v>480</v>
      </c>
      <c r="L564">
        <f t="shared" si="96"/>
        <v>0</v>
      </c>
      <c r="M564">
        <f t="shared" si="92"/>
        <v>0</v>
      </c>
      <c r="N564">
        <f t="shared" si="93"/>
        <v>0</v>
      </c>
      <c r="O564">
        <f t="shared" si="94"/>
        <v>0</v>
      </c>
    </row>
    <row r="565" spans="1:18" ht="18.3" x14ac:dyDescent="0.4">
      <c r="A565">
        <v>4480</v>
      </c>
      <c r="B565" t="s">
        <v>1198</v>
      </c>
      <c r="C565" t="s">
        <v>1186</v>
      </c>
      <c r="D565" t="s">
        <v>1199</v>
      </c>
      <c r="E565" t="s">
        <v>13</v>
      </c>
      <c r="F565" t="s">
        <v>44</v>
      </c>
      <c r="G565">
        <v>160</v>
      </c>
      <c r="H565">
        <v>2</v>
      </c>
      <c r="I565" s="16">
        <f t="shared" si="90"/>
        <v>320</v>
      </c>
      <c r="J565">
        <v>1</v>
      </c>
      <c r="K565">
        <f t="shared" si="91"/>
        <v>160</v>
      </c>
      <c r="L565">
        <f t="shared" si="96"/>
        <v>1</v>
      </c>
      <c r="M565">
        <f t="shared" si="92"/>
        <v>160</v>
      </c>
      <c r="N565">
        <f t="shared" si="93"/>
        <v>40</v>
      </c>
      <c r="O565">
        <f t="shared" si="94"/>
        <v>120</v>
      </c>
      <c r="R565" s="21" t="str">
        <f>_xlfn.TEXTJOIN("  by ",TRUE,B564,C564)</f>
        <v>Aimbathu Latcham Dosai!  by Pattukottai Prabakar</v>
      </c>
    </row>
    <row r="566" spans="1:18" hidden="1" x14ac:dyDescent="0.3">
      <c r="A566">
        <v>4497</v>
      </c>
      <c r="B566" t="s">
        <v>1200</v>
      </c>
      <c r="C566" t="s">
        <v>1186</v>
      </c>
      <c r="D566" t="s">
        <v>1201</v>
      </c>
      <c r="E566" t="s">
        <v>13</v>
      </c>
      <c r="F566" t="s">
        <v>44</v>
      </c>
      <c r="G566">
        <v>100</v>
      </c>
      <c r="H566">
        <v>2</v>
      </c>
      <c r="I566" s="16">
        <f t="shared" si="90"/>
        <v>200</v>
      </c>
      <c r="J566">
        <v>2</v>
      </c>
      <c r="K566">
        <f t="shared" si="91"/>
        <v>200</v>
      </c>
      <c r="L566">
        <f t="shared" si="96"/>
        <v>0</v>
      </c>
      <c r="M566">
        <f t="shared" si="92"/>
        <v>0</v>
      </c>
      <c r="N566">
        <f t="shared" si="93"/>
        <v>0</v>
      </c>
      <c r="O566">
        <f t="shared" si="94"/>
        <v>0</v>
      </c>
    </row>
    <row r="567" spans="1:18" ht="18.3" x14ac:dyDescent="0.4">
      <c r="A567">
        <v>8107</v>
      </c>
      <c r="B567" t="s">
        <v>1202</v>
      </c>
      <c r="C567" t="s">
        <v>1186</v>
      </c>
      <c r="D567" t="s">
        <v>1203</v>
      </c>
      <c r="E567" t="s">
        <v>13</v>
      </c>
      <c r="F567" t="s">
        <v>116</v>
      </c>
      <c r="G567">
        <v>180</v>
      </c>
      <c r="H567">
        <v>2</v>
      </c>
      <c r="I567" s="16">
        <f t="shared" si="90"/>
        <v>360</v>
      </c>
      <c r="J567">
        <v>1</v>
      </c>
      <c r="K567">
        <f t="shared" si="91"/>
        <v>180</v>
      </c>
      <c r="L567">
        <f t="shared" si="96"/>
        <v>1</v>
      </c>
      <c r="M567">
        <f t="shared" si="92"/>
        <v>180</v>
      </c>
      <c r="N567">
        <f t="shared" si="93"/>
        <v>45</v>
      </c>
      <c r="O567">
        <f t="shared" si="94"/>
        <v>135</v>
      </c>
      <c r="R567" s="21" t="str">
        <f>_xlfn.TEXTJOIN("  by ",TRUE,B566,C566)</f>
        <v>Andha Moondru Naatkal  by Pattukottai Prabakar</v>
      </c>
    </row>
    <row r="568" spans="1:18" hidden="1" x14ac:dyDescent="0.3">
      <c r="A568">
        <v>6991</v>
      </c>
      <c r="B568" t="s">
        <v>1204</v>
      </c>
      <c r="C568" t="s">
        <v>1186</v>
      </c>
      <c r="D568" t="s">
        <v>1205</v>
      </c>
      <c r="E568" t="s">
        <v>13</v>
      </c>
      <c r="F568" t="s">
        <v>116</v>
      </c>
      <c r="G568">
        <v>140</v>
      </c>
      <c r="H568">
        <v>2</v>
      </c>
      <c r="I568" s="16">
        <f t="shared" si="90"/>
        <v>280</v>
      </c>
      <c r="J568">
        <v>2</v>
      </c>
      <c r="K568">
        <f t="shared" si="91"/>
        <v>280</v>
      </c>
      <c r="L568">
        <f t="shared" si="96"/>
        <v>0</v>
      </c>
      <c r="M568">
        <f t="shared" si="92"/>
        <v>0</v>
      </c>
      <c r="N568">
        <f t="shared" si="93"/>
        <v>0</v>
      </c>
      <c r="O568">
        <f t="shared" si="94"/>
        <v>0</v>
      </c>
    </row>
    <row r="569" spans="1:18" hidden="1" x14ac:dyDescent="0.3">
      <c r="A569">
        <v>140</v>
      </c>
      <c r="B569" t="s">
        <v>1206</v>
      </c>
      <c r="C569" t="s">
        <v>1186</v>
      </c>
      <c r="D569" t="s">
        <v>1207</v>
      </c>
      <c r="E569" t="s">
        <v>13</v>
      </c>
      <c r="F569" t="s">
        <v>14</v>
      </c>
      <c r="G569">
        <v>230</v>
      </c>
      <c r="H569">
        <v>2</v>
      </c>
      <c r="I569" s="16">
        <f t="shared" si="90"/>
        <v>460</v>
      </c>
      <c r="J569">
        <v>2</v>
      </c>
      <c r="K569">
        <f t="shared" si="91"/>
        <v>460</v>
      </c>
      <c r="L569">
        <f t="shared" si="96"/>
        <v>0</v>
      </c>
      <c r="M569">
        <f t="shared" si="92"/>
        <v>0</v>
      </c>
      <c r="N569">
        <f t="shared" si="93"/>
        <v>0</v>
      </c>
      <c r="O569">
        <f t="shared" si="94"/>
        <v>0</v>
      </c>
    </row>
    <row r="570" spans="1:18" hidden="1" x14ac:dyDescent="0.3">
      <c r="A570">
        <v>8108</v>
      </c>
      <c r="B570" t="s">
        <v>1208</v>
      </c>
      <c r="C570" t="s">
        <v>1186</v>
      </c>
      <c r="D570" t="s">
        <v>1209</v>
      </c>
      <c r="E570" t="s">
        <v>13</v>
      </c>
      <c r="F570" t="s">
        <v>123</v>
      </c>
      <c r="G570">
        <v>100</v>
      </c>
      <c r="H570">
        <v>2</v>
      </c>
      <c r="I570" s="16">
        <f t="shared" si="90"/>
        <v>200</v>
      </c>
      <c r="J570">
        <v>2</v>
      </c>
      <c r="K570">
        <f t="shared" si="91"/>
        <v>200</v>
      </c>
      <c r="L570">
        <f t="shared" si="96"/>
        <v>0</v>
      </c>
      <c r="M570">
        <f t="shared" si="92"/>
        <v>0</v>
      </c>
      <c r="N570">
        <f t="shared" si="93"/>
        <v>0</v>
      </c>
      <c r="O570">
        <f t="shared" si="94"/>
        <v>0</v>
      </c>
    </row>
    <row r="571" spans="1:18" hidden="1" x14ac:dyDescent="0.3">
      <c r="A571">
        <v>5459</v>
      </c>
      <c r="B571" t="s">
        <v>1210</v>
      </c>
      <c r="C571" t="s">
        <v>1186</v>
      </c>
      <c r="D571" t="s">
        <v>1211</v>
      </c>
      <c r="E571" t="s">
        <v>13</v>
      </c>
      <c r="F571" t="s">
        <v>44</v>
      </c>
      <c r="G571">
        <v>240</v>
      </c>
      <c r="H571">
        <v>2</v>
      </c>
      <c r="I571" s="16">
        <f t="shared" si="90"/>
        <v>480</v>
      </c>
      <c r="J571">
        <v>2</v>
      </c>
      <c r="K571">
        <f t="shared" si="91"/>
        <v>480</v>
      </c>
      <c r="L571">
        <f t="shared" si="96"/>
        <v>0</v>
      </c>
      <c r="M571">
        <f t="shared" si="92"/>
        <v>0</v>
      </c>
      <c r="N571">
        <f t="shared" si="93"/>
        <v>0</v>
      </c>
      <c r="O571">
        <f t="shared" si="94"/>
        <v>0</v>
      </c>
    </row>
    <row r="572" spans="1:18" hidden="1" x14ac:dyDescent="0.3">
      <c r="A572">
        <v>7007</v>
      </c>
      <c r="B572" t="s">
        <v>1212</v>
      </c>
      <c r="C572" t="s">
        <v>1186</v>
      </c>
      <c r="D572" t="s">
        <v>1213</v>
      </c>
      <c r="E572" t="s">
        <v>13</v>
      </c>
      <c r="F572" t="s">
        <v>116</v>
      </c>
      <c r="G572">
        <v>120</v>
      </c>
      <c r="H572">
        <v>2</v>
      </c>
      <c r="I572" s="16">
        <f t="shared" si="90"/>
        <v>240</v>
      </c>
      <c r="J572">
        <v>2</v>
      </c>
      <c r="K572">
        <f t="shared" si="91"/>
        <v>240</v>
      </c>
      <c r="L572">
        <f t="shared" si="96"/>
        <v>0</v>
      </c>
      <c r="M572">
        <f t="shared" si="92"/>
        <v>0</v>
      </c>
      <c r="N572">
        <f t="shared" si="93"/>
        <v>0</v>
      </c>
      <c r="O572">
        <f t="shared" si="94"/>
        <v>0</v>
      </c>
    </row>
    <row r="573" spans="1:18" ht="18.3" x14ac:dyDescent="0.4">
      <c r="A573">
        <v>5429</v>
      </c>
      <c r="B573" t="s">
        <v>1214</v>
      </c>
      <c r="C573" t="s">
        <v>1186</v>
      </c>
      <c r="D573" t="s">
        <v>1215</v>
      </c>
      <c r="E573" t="s">
        <v>13</v>
      </c>
      <c r="F573" t="s">
        <v>116</v>
      </c>
      <c r="G573">
        <v>180</v>
      </c>
      <c r="H573">
        <v>2</v>
      </c>
      <c r="I573" s="16">
        <f t="shared" si="90"/>
        <v>360</v>
      </c>
      <c r="J573">
        <v>1</v>
      </c>
      <c r="K573">
        <f t="shared" si="91"/>
        <v>180</v>
      </c>
      <c r="L573">
        <f t="shared" si="96"/>
        <v>1</v>
      </c>
      <c r="M573">
        <f t="shared" si="92"/>
        <v>180</v>
      </c>
      <c r="N573">
        <f t="shared" si="93"/>
        <v>45</v>
      </c>
      <c r="O573">
        <f t="shared" si="94"/>
        <v>135</v>
      </c>
      <c r="R573" s="21" t="str">
        <f>_xlfn.TEXTJOIN("  by ",TRUE,B572,C572)</f>
        <v>Arugil.. Miga Arugil..  by Pattukottai Prabakar</v>
      </c>
    </row>
    <row r="574" spans="1:18" hidden="1" x14ac:dyDescent="0.3">
      <c r="A574">
        <v>8215</v>
      </c>
      <c r="B574" t="s">
        <v>1216</v>
      </c>
      <c r="C574" t="s">
        <v>1186</v>
      </c>
      <c r="D574" t="s">
        <v>1217</v>
      </c>
      <c r="E574" t="s">
        <v>13</v>
      </c>
      <c r="F574" t="s">
        <v>123</v>
      </c>
      <c r="G574">
        <v>170</v>
      </c>
      <c r="H574">
        <v>2</v>
      </c>
      <c r="I574" s="16">
        <f t="shared" si="90"/>
        <v>340</v>
      </c>
      <c r="J574">
        <v>2</v>
      </c>
      <c r="K574">
        <f t="shared" si="91"/>
        <v>340</v>
      </c>
      <c r="L574">
        <f t="shared" si="96"/>
        <v>0</v>
      </c>
      <c r="M574">
        <f t="shared" si="92"/>
        <v>0</v>
      </c>
      <c r="N574">
        <f t="shared" si="93"/>
        <v>0</v>
      </c>
      <c r="O574">
        <f t="shared" si="94"/>
        <v>0</v>
      </c>
    </row>
    <row r="575" spans="1:18" hidden="1" x14ac:dyDescent="0.3">
      <c r="A575">
        <v>153</v>
      </c>
      <c r="B575" t="s">
        <v>1218</v>
      </c>
      <c r="C575" t="s">
        <v>1186</v>
      </c>
      <c r="D575" t="s">
        <v>1219</v>
      </c>
      <c r="E575" t="s">
        <v>13</v>
      </c>
      <c r="F575" t="s">
        <v>14</v>
      </c>
      <c r="G575">
        <v>110</v>
      </c>
      <c r="H575">
        <v>2</v>
      </c>
      <c r="I575" s="16">
        <f t="shared" si="90"/>
        <v>220</v>
      </c>
      <c r="J575">
        <v>2</v>
      </c>
      <c r="K575">
        <f t="shared" si="91"/>
        <v>220</v>
      </c>
      <c r="L575">
        <f t="shared" si="96"/>
        <v>0</v>
      </c>
      <c r="M575">
        <f t="shared" si="92"/>
        <v>0</v>
      </c>
      <c r="N575">
        <f t="shared" si="93"/>
        <v>0</v>
      </c>
      <c r="O575">
        <f t="shared" si="94"/>
        <v>0</v>
      </c>
    </row>
    <row r="576" spans="1:18" hidden="1" x14ac:dyDescent="0.3">
      <c r="A576">
        <v>12416</v>
      </c>
      <c r="B576" t="s">
        <v>295</v>
      </c>
      <c r="C576" t="s">
        <v>1186</v>
      </c>
      <c r="D576" t="s">
        <v>296</v>
      </c>
      <c r="E576" t="s">
        <v>13</v>
      </c>
      <c r="F576" t="s">
        <v>44</v>
      </c>
      <c r="G576">
        <v>210</v>
      </c>
      <c r="H576">
        <v>2</v>
      </c>
      <c r="I576" s="16">
        <f t="shared" si="90"/>
        <v>420</v>
      </c>
      <c r="J576">
        <v>2</v>
      </c>
      <c r="K576">
        <f t="shared" si="91"/>
        <v>420</v>
      </c>
      <c r="L576">
        <f t="shared" si="96"/>
        <v>0</v>
      </c>
      <c r="M576">
        <f t="shared" si="92"/>
        <v>0</v>
      </c>
      <c r="N576">
        <f t="shared" si="93"/>
        <v>0</v>
      </c>
      <c r="O576">
        <f t="shared" si="94"/>
        <v>0</v>
      </c>
    </row>
    <row r="577" spans="1:18" ht="18.3" x14ac:dyDescent="0.4">
      <c r="A577">
        <v>8065</v>
      </c>
      <c r="B577" t="s">
        <v>1220</v>
      </c>
      <c r="C577" t="s">
        <v>1186</v>
      </c>
      <c r="D577" t="s">
        <v>1221</v>
      </c>
      <c r="E577" t="s">
        <v>13</v>
      </c>
      <c r="F577" t="s">
        <v>123</v>
      </c>
      <c r="G577">
        <v>130</v>
      </c>
      <c r="H577">
        <v>2</v>
      </c>
      <c r="I577" s="16">
        <f t="shared" si="90"/>
        <v>260</v>
      </c>
      <c r="J577">
        <v>1</v>
      </c>
      <c r="K577">
        <f t="shared" si="91"/>
        <v>130</v>
      </c>
      <c r="L577">
        <f t="shared" si="96"/>
        <v>1</v>
      </c>
      <c r="M577">
        <f t="shared" si="92"/>
        <v>130</v>
      </c>
      <c r="N577">
        <f t="shared" si="93"/>
        <v>32.5</v>
      </c>
      <c r="O577">
        <f t="shared" si="94"/>
        <v>97.5</v>
      </c>
      <c r="R577" s="21" t="str">
        <f t="shared" ref="R577:R582" si="98">_xlfn.TEXTJOIN("  by ",TRUE,B576,C576)</f>
        <v>Bathil Mariyathai  by Pattukottai Prabakar</v>
      </c>
    </row>
    <row r="578" spans="1:18" ht="18.3" x14ac:dyDescent="0.4">
      <c r="A578">
        <v>8071</v>
      </c>
      <c r="B578" t="s">
        <v>1222</v>
      </c>
      <c r="C578" t="s">
        <v>1186</v>
      </c>
      <c r="D578" t="s">
        <v>1223</v>
      </c>
      <c r="E578" t="s">
        <v>13</v>
      </c>
      <c r="F578" t="s">
        <v>123</v>
      </c>
      <c r="G578">
        <v>100</v>
      </c>
      <c r="H578">
        <v>2</v>
      </c>
      <c r="I578" s="16">
        <f t="shared" si="90"/>
        <v>200</v>
      </c>
      <c r="J578">
        <v>1</v>
      </c>
      <c r="K578">
        <f t="shared" si="91"/>
        <v>100</v>
      </c>
      <c r="L578">
        <f t="shared" si="96"/>
        <v>1</v>
      </c>
      <c r="M578">
        <f t="shared" si="92"/>
        <v>100</v>
      </c>
      <c r="N578">
        <f t="shared" si="93"/>
        <v>25</v>
      </c>
      <c r="O578">
        <f t="shared" si="94"/>
        <v>75</v>
      </c>
      <c r="R578" s="21" t="str">
        <f t="shared" si="98"/>
        <v>Bathil Tha Bharath!  by Pattukottai Prabakar</v>
      </c>
    </row>
    <row r="579" spans="1:18" ht="18.3" x14ac:dyDescent="0.4">
      <c r="A579">
        <v>8046</v>
      </c>
      <c r="B579" t="s">
        <v>1224</v>
      </c>
      <c r="C579" t="s">
        <v>1186</v>
      </c>
      <c r="D579" t="s">
        <v>1225</v>
      </c>
      <c r="E579" t="s">
        <v>13</v>
      </c>
      <c r="F579" t="s">
        <v>123</v>
      </c>
      <c r="G579">
        <v>130</v>
      </c>
      <c r="H579">
        <v>2</v>
      </c>
      <c r="I579" s="16">
        <f t="shared" ref="I579:I642" si="99">H579*G579</f>
        <v>260</v>
      </c>
      <c r="J579">
        <v>1</v>
      </c>
      <c r="K579">
        <f t="shared" ref="K579:K642" si="100">J579*G579</f>
        <v>130</v>
      </c>
      <c r="L579">
        <f t="shared" si="96"/>
        <v>1</v>
      </c>
      <c r="M579">
        <f t="shared" ref="M579:M642" si="101">L579*G579</f>
        <v>130</v>
      </c>
      <c r="N579">
        <f t="shared" ref="N579:N642" si="102">M579*0.25</f>
        <v>32.5</v>
      </c>
      <c r="O579">
        <f t="shared" ref="O579:O642" si="103">M579-N579</f>
        <v>97.5</v>
      </c>
      <c r="R579" s="21" t="str">
        <f t="shared" si="98"/>
        <v>Bharath And Pattampoochi  by Pattukottai Prabakar</v>
      </c>
    </row>
    <row r="580" spans="1:18" ht="18.3" x14ac:dyDescent="0.4">
      <c r="A580">
        <v>8110</v>
      </c>
      <c r="B580" t="s">
        <v>1226</v>
      </c>
      <c r="C580" t="s">
        <v>1186</v>
      </c>
      <c r="D580" t="s">
        <v>1227</v>
      </c>
      <c r="E580" t="s">
        <v>13</v>
      </c>
      <c r="F580" t="s">
        <v>123</v>
      </c>
      <c r="G580">
        <v>90</v>
      </c>
      <c r="H580">
        <v>2</v>
      </c>
      <c r="I580" s="16">
        <f t="shared" si="99"/>
        <v>180</v>
      </c>
      <c r="J580">
        <v>1</v>
      </c>
      <c r="K580">
        <f t="shared" si="100"/>
        <v>90</v>
      </c>
      <c r="L580">
        <f t="shared" si="96"/>
        <v>1</v>
      </c>
      <c r="M580">
        <f t="shared" si="101"/>
        <v>90</v>
      </c>
      <c r="N580">
        <f t="shared" si="102"/>
        <v>22.5</v>
      </c>
      <c r="O580">
        <f t="shared" si="103"/>
        <v>67.5</v>
      </c>
      <c r="R580" s="21" t="str">
        <f t="shared" si="98"/>
        <v>Bharath Bharath Paranthu Vaa  by Pattukottai Prabakar</v>
      </c>
    </row>
    <row r="581" spans="1:18" ht="18.3" x14ac:dyDescent="0.4">
      <c r="A581">
        <v>8118</v>
      </c>
      <c r="B581" t="s">
        <v>1228</v>
      </c>
      <c r="C581" t="s">
        <v>1186</v>
      </c>
      <c r="D581" t="s">
        <v>1229</v>
      </c>
      <c r="E581" t="s">
        <v>13</v>
      </c>
      <c r="F581" t="s">
        <v>123</v>
      </c>
      <c r="G581">
        <v>110</v>
      </c>
      <c r="H581">
        <v>2</v>
      </c>
      <c r="I581" s="16">
        <f t="shared" si="99"/>
        <v>220</v>
      </c>
      <c r="J581">
        <v>1</v>
      </c>
      <c r="K581">
        <f t="shared" si="100"/>
        <v>110</v>
      </c>
      <c r="L581">
        <f t="shared" si="96"/>
        <v>1</v>
      </c>
      <c r="M581">
        <f t="shared" si="101"/>
        <v>110</v>
      </c>
      <c r="N581">
        <f t="shared" si="102"/>
        <v>27.5</v>
      </c>
      <c r="O581">
        <f t="shared" si="103"/>
        <v>82.5</v>
      </c>
      <c r="R581" s="21" t="str">
        <f t="shared" si="98"/>
        <v>Bharath Irukka Bayam Yen?  by Pattukottai Prabakar</v>
      </c>
    </row>
    <row r="582" spans="1:18" ht="18.3" x14ac:dyDescent="0.4">
      <c r="A582">
        <v>8218</v>
      </c>
      <c r="B582" t="s">
        <v>1230</v>
      </c>
      <c r="C582" t="s">
        <v>1186</v>
      </c>
      <c r="D582" t="s">
        <v>1231</v>
      </c>
      <c r="E582" t="s">
        <v>13</v>
      </c>
      <c r="F582" t="s">
        <v>123</v>
      </c>
      <c r="G582">
        <v>100</v>
      </c>
      <c r="H582">
        <v>4</v>
      </c>
      <c r="I582" s="16">
        <f t="shared" si="99"/>
        <v>400</v>
      </c>
      <c r="J582">
        <v>3</v>
      </c>
      <c r="K582">
        <f t="shared" si="100"/>
        <v>300</v>
      </c>
      <c r="L582">
        <f t="shared" si="96"/>
        <v>1</v>
      </c>
      <c r="M582">
        <f t="shared" si="101"/>
        <v>100</v>
      </c>
      <c r="N582">
        <f t="shared" si="102"/>
        <v>25</v>
      </c>
      <c r="O582">
        <f t="shared" si="103"/>
        <v>75</v>
      </c>
      <c r="R582" s="21" t="str">
        <f t="shared" si="98"/>
        <v>Bharath Speaking  by Pattukottai Prabakar</v>
      </c>
    </row>
    <row r="583" spans="1:18" hidden="1" x14ac:dyDescent="0.3">
      <c r="A583">
        <v>3705</v>
      </c>
      <c r="B583" t="s">
        <v>1232</v>
      </c>
      <c r="C583" t="s">
        <v>1186</v>
      </c>
      <c r="D583" t="s">
        <v>1233</v>
      </c>
      <c r="E583" t="s">
        <v>13</v>
      </c>
      <c r="F583" t="s">
        <v>144</v>
      </c>
      <c r="G583">
        <v>110</v>
      </c>
      <c r="H583">
        <v>2</v>
      </c>
      <c r="I583" s="16">
        <f t="shared" si="99"/>
        <v>220</v>
      </c>
      <c r="J583">
        <v>2</v>
      </c>
      <c r="K583">
        <f t="shared" si="100"/>
        <v>220</v>
      </c>
      <c r="L583">
        <f t="shared" si="96"/>
        <v>0</v>
      </c>
      <c r="M583">
        <f t="shared" si="101"/>
        <v>0</v>
      </c>
      <c r="N583">
        <f t="shared" si="102"/>
        <v>0</v>
      </c>
      <c r="O583">
        <f t="shared" si="103"/>
        <v>0</v>
      </c>
    </row>
    <row r="584" spans="1:18" hidden="1" x14ac:dyDescent="0.3">
      <c r="A584">
        <v>3665</v>
      </c>
      <c r="B584" t="s">
        <v>1234</v>
      </c>
      <c r="C584" t="s">
        <v>1186</v>
      </c>
      <c r="D584" t="s">
        <v>1235</v>
      </c>
      <c r="E584" t="s">
        <v>13</v>
      </c>
      <c r="F584" t="s">
        <v>144</v>
      </c>
      <c r="G584">
        <v>140</v>
      </c>
      <c r="H584">
        <v>2</v>
      </c>
      <c r="I584" s="16">
        <f t="shared" si="99"/>
        <v>280</v>
      </c>
      <c r="J584">
        <v>2</v>
      </c>
      <c r="K584">
        <f t="shared" si="100"/>
        <v>280</v>
      </c>
      <c r="L584">
        <f t="shared" si="96"/>
        <v>0</v>
      </c>
      <c r="M584">
        <f t="shared" si="101"/>
        <v>0</v>
      </c>
      <c r="N584">
        <f t="shared" si="102"/>
        <v>0</v>
      </c>
      <c r="O584">
        <f t="shared" si="103"/>
        <v>0</v>
      </c>
    </row>
    <row r="585" spans="1:18" hidden="1" x14ac:dyDescent="0.3">
      <c r="A585">
        <v>7011</v>
      </c>
      <c r="B585" t="s">
        <v>1236</v>
      </c>
      <c r="C585" t="s">
        <v>1186</v>
      </c>
      <c r="D585" t="s">
        <v>1237</v>
      </c>
      <c r="E585" t="s">
        <v>13</v>
      </c>
      <c r="F585" t="s">
        <v>1238</v>
      </c>
      <c r="G585">
        <v>90</v>
      </c>
      <c r="H585">
        <v>2</v>
      </c>
      <c r="I585" s="16">
        <f t="shared" si="99"/>
        <v>180</v>
      </c>
      <c r="J585">
        <v>2</v>
      </c>
      <c r="K585">
        <f t="shared" si="100"/>
        <v>180</v>
      </c>
      <c r="L585">
        <f t="shared" si="96"/>
        <v>0</v>
      </c>
      <c r="M585">
        <f t="shared" si="101"/>
        <v>0</v>
      </c>
      <c r="N585">
        <f t="shared" si="102"/>
        <v>0</v>
      </c>
      <c r="O585">
        <f t="shared" si="103"/>
        <v>0</v>
      </c>
    </row>
    <row r="586" spans="1:18" hidden="1" x14ac:dyDescent="0.3">
      <c r="A586">
        <v>6650</v>
      </c>
      <c r="B586" t="s">
        <v>1239</v>
      </c>
      <c r="C586" t="s">
        <v>1186</v>
      </c>
      <c r="D586" t="s">
        <v>1240</v>
      </c>
      <c r="E586" t="s">
        <v>13</v>
      </c>
      <c r="F586" t="s">
        <v>116</v>
      </c>
      <c r="G586">
        <v>120</v>
      </c>
      <c r="H586">
        <v>2</v>
      </c>
      <c r="I586" s="16">
        <f t="shared" si="99"/>
        <v>240</v>
      </c>
      <c r="J586">
        <v>2</v>
      </c>
      <c r="K586">
        <f t="shared" si="100"/>
        <v>240</v>
      </c>
      <c r="L586">
        <f t="shared" si="96"/>
        <v>0</v>
      </c>
      <c r="M586">
        <f t="shared" si="101"/>
        <v>0</v>
      </c>
      <c r="N586">
        <f t="shared" si="102"/>
        <v>0</v>
      </c>
      <c r="O586">
        <f t="shared" si="103"/>
        <v>0</v>
      </c>
    </row>
    <row r="587" spans="1:18" hidden="1" x14ac:dyDescent="0.3">
      <c r="A587">
        <v>8104</v>
      </c>
      <c r="B587" t="s">
        <v>1241</v>
      </c>
      <c r="C587" t="s">
        <v>1186</v>
      </c>
      <c r="D587" t="s">
        <v>1242</v>
      </c>
      <c r="E587" t="s">
        <v>13</v>
      </c>
      <c r="F587" t="s">
        <v>123</v>
      </c>
      <c r="G587">
        <v>100</v>
      </c>
      <c r="H587">
        <v>2</v>
      </c>
      <c r="I587" s="16">
        <f t="shared" si="99"/>
        <v>200</v>
      </c>
      <c r="J587">
        <v>2</v>
      </c>
      <c r="K587">
        <f t="shared" si="100"/>
        <v>200</v>
      </c>
      <c r="L587">
        <f t="shared" si="96"/>
        <v>0</v>
      </c>
      <c r="M587">
        <f t="shared" si="101"/>
        <v>0</v>
      </c>
      <c r="N587">
        <f t="shared" si="102"/>
        <v>0</v>
      </c>
      <c r="O587">
        <f t="shared" si="103"/>
        <v>0</v>
      </c>
    </row>
    <row r="588" spans="1:18" hidden="1" x14ac:dyDescent="0.3">
      <c r="A588">
        <v>5492</v>
      </c>
      <c r="B588" t="s">
        <v>1243</v>
      </c>
      <c r="C588" t="s">
        <v>1186</v>
      </c>
      <c r="D588" t="s">
        <v>1244</v>
      </c>
      <c r="E588" t="s">
        <v>13</v>
      </c>
      <c r="F588" t="s">
        <v>116</v>
      </c>
      <c r="G588">
        <v>210</v>
      </c>
      <c r="H588">
        <v>2</v>
      </c>
      <c r="I588" s="16">
        <f t="shared" si="99"/>
        <v>420</v>
      </c>
      <c r="J588">
        <v>2</v>
      </c>
      <c r="K588">
        <f t="shared" si="100"/>
        <v>420</v>
      </c>
      <c r="L588">
        <f t="shared" si="96"/>
        <v>0</v>
      </c>
      <c r="M588">
        <f t="shared" si="101"/>
        <v>0</v>
      </c>
      <c r="N588">
        <f t="shared" si="102"/>
        <v>0</v>
      </c>
      <c r="O588">
        <f t="shared" si="103"/>
        <v>0</v>
      </c>
    </row>
    <row r="589" spans="1:18" hidden="1" x14ac:dyDescent="0.3">
      <c r="A589">
        <v>5500</v>
      </c>
      <c r="B589" t="s">
        <v>1245</v>
      </c>
      <c r="C589" t="s">
        <v>1186</v>
      </c>
      <c r="D589" t="s">
        <v>1246</v>
      </c>
      <c r="E589" t="s">
        <v>13</v>
      </c>
      <c r="F589" t="s">
        <v>116</v>
      </c>
      <c r="G589">
        <v>140</v>
      </c>
      <c r="H589">
        <v>2</v>
      </c>
      <c r="I589" s="16">
        <f t="shared" si="99"/>
        <v>280</v>
      </c>
      <c r="J589">
        <v>2</v>
      </c>
      <c r="K589">
        <f t="shared" si="100"/>
        <v>280</v>
      </c>
      <c r="L589">
        <f t="shared" si="96"/>
        <v>0</v>
      </c>
      <c r="M589">
        <f t="shared" si="101"/>
        <v>0</v>
      </c>
      <c r="N589">
        <f t="shared" si="102"/>
        <v>0</v>
      </c>
      <c r="O589">
        <f t="shared" si="103"/>
        <v>0</v>
      </c>
    </row>
    <row r="590" spans="1:18" hidden="1" x14ac:dyDescent="0.3">
      <c r="A590">
        <v>7000</v>
      </c>
      <c r="B590" t="s">
        <v>1247</v>
      </c>
      <c r="C590" t="s">
        <v>1186</v>
      </c>
      <c r="D590" t="s">
        <v>1248</v>
      </c>
      <c r="E590" t="s">
        <v>13</v>
      </c>
      <c r="F590" t="s">
        <v>39</v>
      </c>
      <c r="G590">
        <v>100</v>
      </c>
      <c r="H590">
        <v>2</v>
      </c>
      <c r="I590" s="16">
        <f t="shared" si="99"/>
        <v>200</v>
      </c>
      <c r="J590">
        <v>2</v>
      </c>
      <c r="K590">
        <f t="shared" si="100"/>
        <v>200</v>
      </c>
      <c r="L590">
        <f t="shared" si="96"/>
        <v>0</v>
      </c>
      <c r="M590">
        <f t="shared" si="101"/>
        <v>0</v>
      </c>
      <c r="N590">
        <f t="shared" si="102"/>
        <v>0</v>
      </c>
      <c r="O590">
        <f t="shared" si="103"/>
        <v>0</v>
      </c>
    </row>
    <row r="591" spans="1:18" hidden="1" x14ac:dyDescent="0.3">
      <c r="A591">
        <v>6993</v>
      </c>
      <c r="B591" t="s">
        <v>1249</v>
      </c>
      <c r="C591" t="s">
        <v>1186</v>
      </c>
      <c r="D591" t="s">
        <v>1250</v>
      </c>
      <c r="E591" t="s">
        <v>13</v>
      </c>
      <c r="F591" t="s">
        <v>116</v>
      </c>
      <c r="G591">
        <v>120</v>
      </c>
      <c r="H591">
        <v>2</v>
      </c>
      <c r="I591" s="16">
        <f t="shared" si="99"/>
        <v>240</v>
      </c>
      <c r="J591">
        <v>2</v>
      </c>
      <c r="K591">
        <f t="shared" si="100"/>
        <v>240</v>
      </c>
      <c r="L591">
        <f t="shared" si="96"/>
        <v>0</v>
      </c>
      <c r="M591">
        <f t="shared" si="101"/>
        <v>0</v>
      </c>
      <c r="N591">
        <f t="shared" si="102"/>
        <v>0</v>
      </c>
      <c r="O591">
        <f t="shared" si="103"/>
        <v>0</v>
      </c>
    </row>
    <row r="592" spans="1:18" hidden="1" x14ac:dyDescent="0.3">
      <c r="A592">
        <v>5799</v>
      </c>
      <c r="B592" t="s">
        <v>1251</v>
      </c>
      <c r="C592" t="s">
        <v>1186</v>
      </c>
      <c r="D592" t="s">
        <v>1252</v>
      </c>
      <c r="E592" t="s">
        <v>13</v>
      </c>
      <c r="F592" t="s">
        <v>116</v>
      </c>
      <c r="G592">
        <v>100</v>
      </c>
      <c r="H592">
        <v>2</v>
      </c>
      <c r="I592" s="16">
        <f t="shared" si="99"/>
        <v>200</v>
      </c>
      <c r="J592">
        <v>2</v>
      </c>
      <c r="K592">
        <f t="shared" si="100"/>
        <v>200</v>
      </c>
      <c r="L592">
        <f t="shared" si="96"/>
        <v>0</v>
      </c>
      <c r="M592">
        <f t="shared" si="101"/>
        <v>0</v>
      </c>
      <c r="N592">
        <f t="shared" si="102"/>
        <v>0</v>
      </c>
      <c r="O592">
        <f t="shared" si="103"/>
        <v>0</v>
      </c>
    </row>
    <row r="593" spans="1:18" hidden="1" x14ac:dyDescent="0.3">
      <c r="A593">
        <v>3807</v>
      </c>
      <c r="B593" t="s">
        <v>1253</v>
      </c>
      <c r="C593" t="s">
        <v>1186</v>
      </c>
      <c r="D593" t="s">
        <v>1254</v>
      </c>
      <c r="E593" t="s">
        <v>13</v>
      </c>
      <c r="F593" t="s">
        <v>116</v>
      </c>
      <c r="G593">
        <v>90</v>
      </c>
      <c r="H593">
        <v>2</v>
      </c>
      <c r="I593" s="16">
        <f t="shared" si="99"/>
        <v>180</v>
      </c>
      <c r="J593">
        <v>2</v>
      </c>
      <c r="K593">
        <f t="shared" si="100"/>
        <v>180</v>
      </c>
      <c r="L593">
        <f t="shared" si="96"/>
        <v>0</v>
      </c>
      <c r="M593">
        <f t="shared" si="101"/>
        <v>0</v>
      </c>
      <c r="N593">
        <f t="shared" si="102"/>
        <v>0</v>
      </c>
      <c r="O593">
        <f t="shared" si="103"/>
        <v>0</v>
      </c>
    </row>
    <row r="594" spans="1:18" hidden="1" x14ac:dyDescent="0.3">
      <c r="A594">
        <v>8124</v>
      </c>
      <c r="B594" t="s">
        <v>1255</v>
      </c>
      <c r="C594" t="s">
        <v>1186</v>
      </c>
      <c r="D594" t="s">
        <v>1256</v>
      </c>
      <c r="E594" t="s">
        <v>13</v>
      </c>
      <c r="F594" t="s">
        <v>123</v>
      </c>
      <c r="G594">
        <v>120</v>
      </c>
      <c r="H594">
        <v>2</v>
      </c>
      <c r="I594" s="16">
        <f t="shared" si="99"/>
        <v>240</v>
      </c>
      <c r="J594">
        <v>2</v>
      </c>
      <c r="K594">
        <f t="shared" si="100"/>
        <v>240</v>
      </c>
      <c r="L594">
        <f t="shared" si="96"/>
        <v>0</v>
      </c>
      <c r="M594">
        <f t="shared" si="101"/>
        <v>0</v>
      </c>
      <c r="N594">
        <f t="shared" si="102"/>
        <v>0</v>
      </c>
      <c r="O594">
        <f t="shared" si="103"/>
        <v>0</v>
      </c>
    </row>
    <row r="595" spans="1:18" hidden="1" x14ac:dyDescent="0.3">
      <c r="A595">
        <v>5281</v>
      </c>
      <c r="B595" t="s">
        <v>1257</v>
      </c>
      <c r="C595" t="s">
        <v>1186</v>
      </c>
      <c r="D595" t="s">
        <v>1258</v>
      </c>
      <c r="E595" t="s">
        <v>13</v>
      </c>
      <c r="F595" t="s">
        <v>116</v>
      </c>
      <c r="G595">
        <v>90</v>
      </c>
      <c r="H595">
        <v>2</v>
      </c>
      <c r="I595" s="16">
        <f t="shared" si="99"/>
        <v>180</v>
      </c>
      <c r="J595">
        <v>2</v>
      </c>
      <c r="K595">
        <f t="shared" si="100"/>
        <v>180</v>
      </c>
      <c r="L595">
        <f t="shared" si="96"/>
        <v>0</v>
      </c>
      <c r="M595">
        <f t="shared" si="101"/>
        <v>0</v>
      </c>
      <c r="N595">
        <f t="shared" si="102"/>
        <v>0</v>
      </c>
      <c r="O595">
        <f t="shared" si="103"/>
        <v>0</v>
      </c>
    </row>
    <row r="596" spans="1:18" hidden="1" x14ac:dyDescent="0.3">
      <c r="A596">
        <v>6997</v>
      </c>
      <c r="B596" t="s">
        <v>1259</v>
      </c>
      <c r="C596" t="s">
        <v>1186</v>
      </c>
      <c r="D596" t="s">
        <v>1260</v>
      </c>
      <c r="E596" t="s">
        <v>13</v>
      </c>
      <c r="F596" t="s">
        <v>39</v>
      </c>
      <c r="G596">
        <v>110</v>
      </c>
      <c r="H596">
        <v>2</v>
      </c>
      <c r="I596" s="16">
        <f t="shared" si="99"/>
        <v>220</v>
      </c>
      <c r="J596">
        <v>2</v>
      </c>
      <c r="K596">
        <f t="shared" si="100"/>
        <v>220</v>
      </c>
      <c r="L596">
        <f t="shared" si="96"/>
        <v>0</v>
      </c>
      <c r="M596">
        <f t="shared" si="101"/>
        <v>0</v>
      </c>
      <c r="N596">
        <f t="shared" si="102"/>
        <v>0</v>
      </c>
      <c r="O596">
        <f t="shared" si="103"/>
        <v>0</v>
      </c>
    </row>
    <row r="597" spans="1:18" ht="18.3" x14ac:dyDescent="0.4">
      <c r="A597">
        <v>395</v>
      </c>
      <c r="B597" t="s">
        <v>1261</v>
      </c>
      <c r="C597" t="s">
        <v>1186</v>
      </c>
      <c r="D597" t="s">
        <v>1262</v>
      </c>
      <c r="E597" t="s">
        <v>13</v>
      </c>
      <c r="F597" t="s">
        <v>14</v>
      </c>
      <c r="G597">
        <v>250</v>
      </c>
      <c r="H597">
        <v>2</v>
      </c>
      <c r="I597" s="16">
        <f t="shared" si="99"/>
        <v>500</v>
      </c>
      <c r="J597">
        <v>1</v>
      </c>
      <c r="K597">
        <f t="shared" si="100"/>
        <v>250</v>
      </c>
      <c r="L597">
        <f t="shared" si="96"/>
        <v>1</v>
      </c>
      <c r="M597">
        <f t="shared" si="101"/>
        <v>250</v>
      </c>
      <c r="N597">
        <f t="shared" si="102"/>
        <v>62.5</v>
      </c>
      <c r="O597">
        <f t="shared" si="103"/>
        <v>187.5</v>
      </c>
      <c r="R597" s="21" t="str">
        <f t="shared" ref="R597:R598" si="104">_xlfn.TEXTJOIN("  by ",TRUE,B596,C596)</f>
        <v>Idhaya Regai  by Pattukottai Prabakar</v>
      </c>
    </row>
    <row r="598" spans="1:18" ht="18.3" x14ac:dyDescent="0.4">
      <c r="A598">
        <v>5658</v>
      </c>
      <c r="B598" t="s">
        <v>1263</v>
      </c>
      <c r="C598" t="s">
        <v>1186</v>
      </c>
      <c r="D598" t="s">
        <v>1264</v>
      </c>
      <c r="E598" t="s">
        <v>13</v>
      </c>
      <c r="F598" t="s">
        <v>14</v>
      </c>
      <c r="G598">
        <v>240</v>
      </c>
      <c r="H598">
        <v>2</v>
      </c>
      <c r="I598" s="16">
        <f t="shared" si="99"/>
        <v>480</v>
      </c>
      <c r="J598">
        <v>1</v>
      </c>
      <c r="K598">
        <f t="shared" si="100"/>
        <v>240</v>
      </c>
      <c r="L598">
        <f t="shared" si="96"/>
        <v>1</v>
      </c>
      <c r="M598">
        <f t="shared" si="101"/>
        <v>240</v>
      </c>
      <c r="N598">
        <f t="shared" si="102"/>
        <v>60</v>
      </c>
      <c r="O598">
        <f t="shared" si="103"/>
        <v>180</v>
      </c>
      <c r="R598" s="21" t="str">
        <f t="shared" si="104"/>
        <v>Imaikatha Iravu  by Pattukottai Prabakar</v>
      </c>
    </row>
    <row r="599" spans="1:18" hidden="1" x14ac:dyDescent="0.3">
      <c r="A599">
        <v>6996</v>
      </c>
      <c r="B599" t="s">
        <v>1265</v>
      </c>
      <c r="C599" t="s">
        <v>1186</v>
      </c>
      <c r="D599" t="s">
        <v>1266</v>
      </c>
      <c r="E599" t="s">
        <v>13</v>
      </c>
      <c r="F599" t="s">
        <v>39</v>
      </c>
      <c r="G599">
        <v>110</v>
      </c>
      <c r="H599">
        <v>2</v>
      </c>
      <c r="I599" s="16">
        <f t="shared" si="99"/>
        <v>220</v>
      </c>
      <c r="J599">
        <v>2</v>
      </c>
      <c r="K599">
        <f t="shared" si="100"/>
        <v>220</v>
      </c>
      <c r="L599">
        <f t="shared" si="96"/>
        <v>0</v>
      </c>
      <c r="M599">
        <f t="shared" si="101"/>
        <v>0</v>
      </c>
      <c r="N599">
        <f t="shared" si="102"/>
        <v>0</v>
      </c>
      <c r="O599">
        <f t="shared" si="103"/>
        <v>0</v>
      </c>
    </row>
    <row r="600" spans="1:18" ht="18.3" x14ac:dyDescent="0.4">
      <c r="A600">
        <v>5269</v>
      </c>
      <c r="B600" t="s">
        <v>1267</v>
      </c>
      <c r="C600" t="s">
        <v>1186</v>
      </c>
      <c r="D600" t="s">
        <v>1268</v>
      </c>
      <c r="E600" t="s">
        <v>13</v>
      </c>
      <c r="F600" t="s">
        <v>116</v>
      </c>
      <c r="G600">
        <v>250</v>
      </c>
      <c r="H600">
        <v>2</v>
      </c>
      <c r="I600" s="16">
        <f t="shared" si="99"/>
        <v>500</v>
      </c>
      <c r="J600">
        <v>1</v>
      </c>
      <c r="K600">
        <f t="shared" si="100"/>
        <v>250</v>
      </c>
      <c r="L600">
        <f t="shared" si="96"/>
        <v>1</v>
      </c>
      <c r="M600">
        <f t="shared" si="101"/>
        <v>250</v>
      </c>
      <c r="N600">
        <f t="shared" si="102"/>
        <v>62.5</v>
      </c>
      <c r="O600">
        <f t="shared" si="103"/>
        <v>187.5</v>
      </c>
      <c r="R600" s="21" t="str">
        <f>_xlfn.TEXTJOIN("  by ",TRUE,B599,C599)</f>
        <v>Indhu Maha Sarithram  by Pattukottai Prabakar</v>
      </c>
    </row>
    <row r="601" spans="1:18" hidden="1" x14ac:dyDescent="0.3">
      <c r="A601">
        <v>6990</v>
      </c>
      <c r="B601" t="s">
        <v>1269</v>
      </c>
      <c r="C601" t="s">
        <v>1186</v>
      </c>
      <c r="D601" t="s">
        <v>1270</v>
      </c>
      <c r="E601" t="s">
        <v>13</v>
      </c>
      <c r="F601" t="s">
        <v>116</v>
      </c>
      <c r="G601">
        <v>110</v>
      </c>
      <c r="H601">
        <v>2</v>
      </c>
      <c r="I601" s="16">
        <f t="shared" si="99"/>
        <v>220</v>
      </c>
      <c r="J601">
        <v>2</v>
      </c>
      <c r="K601">
        <f t="shared" si="100"/>
        <v>220</v>
      </c>
      <c r="L601">
        <f t="shared" si="96"/>
        <v>0</v>
      </c>
      <c r="M601">
        <f t="shared" si="101"/>
        <v>0</v>
      </c>
      <c r="N601">
        <f t="shared" si="102"/>
        <v>0</v>
      </c>
      <c r="O601">
        <f t="shared" si="103"/>
        <v>0</v>
      </c>
    </row>
    <row r="602" spans="1:18" hidden="1" x14ac:dyDescent="0.3">
      <c r="A602">
        <v>4545</v>
      </c>
      <c r="B602" t="s">
        <v>1271</v>
      </c>
      <c r="C602" t="s">
        <v>1186</v>
      </c>
      <c r="D602" t="s">
        <v>1272</v>
      </c>
      <c r="E602" t="s">
        <v>13</v>
      </c>
      <c r="F602" t="s">
        <v>44</v>
      </c>
      <c r="G602">
        <v>100</v>
      </c>
      <c r="H602">
        <v>2</v>
      </c>
      <c r="I602" s="16">
        <f t="shared" si="99"/>
        <v>200</v>
      </c>
      <c r="J602">
        <v>2</v>
      </c>
      <c r="K602">
        <f t="shared" si="100"/>
        <v>200</v>
      </c>
      <c r="L602">
        <f t="shared" si="96"/>
        <v>0</v>
      </c>
      <c r="M602">
        <f t="shared" si="101"/>
        <v>0</v>
      </c>
      <c r="N602">
        <f t="shared" si="102"/>
        <v>0</v>
      </c>
      <c r="O602">
        <f t="shared" si="103"/>
        <v>0</v>
      </c>
    </row>
    <row r="603" spans="1:18" hidden="1" x14ac:dyDescent="0.3">
      <c r="A603">
        <v>8099</v>
      </c>
      <c r="B603" t="s">
        <v>1273</v>
      </c>
      <c r="C603" t="s">
        <v>1186</v>
      </c>
      <c r="D603" t="s">
        <v>1274</v>
      </c>
      <c r="E603" t="s">
        <v>13</v>
      </c>
      <c r="F603" t="s">
        <v>123</v>
      </c>
      <c r="G603">
        <v>90</v>
      </c>
      <c r="H603">
        <v>2</v>
      </c>
      <c r="I603" s="16">
        <f t="shared" si="99"/>
        <v>180</v>
      </c>
      <c r="J603">
        <v>2</v>
      </c>
      <c r="K603">
        <f t="shared" si="100"/>
        <v>180</v>
      </c>
      <c r="L603">
        <f t="shared" si="96"/>
        <v>0</v>
      </c>
      <c r="M603">
        <f t="shared" si="101"/>
        <v>0</v>
      </c>
      <c r="N603">
        <f t="shared" si="102"/>
        <v>0</v>
      </c>
      <c r="O603">
        <f t="shared" si="103"/>
        <v>0</v>
      </c>
    </row>
    <row r="604" spans="1:18" hidden="1" x14ac:dyDescent="0.3">
      <c r="A604">
        <v>7817</v>
      </c>
      <c r="B604" t="s">
        <v>1275</v>
      </c>
      <c r="C604" t="s">
        <v>1186</v>
      </c>
      <c r="D604" t="s">
        <v>1276</v>
      </c>
      <c r="E604" t="s">
        <v>13</v>
      </c>
      <c r="F604" t="s">
        <v>116</v>
      </c>
      <c r="G604">
        <v>110</v>
      </c>
      <c r="H604">
        <v>2</v>
      </c>
      <c r="I604" s="16">
        <f t="shared" si="99"/>
        <v>220</v>
      </c>
      <c r="J604">
        <v>2</v>
      </c>
      <c r="K604">
        <f t="shared" si="100"/>
        <v>220</v>
      </c>
      <c r="L604">
        <f t="shared" si="96"/>
        <v>0</v>
      </c>
      <c r="M604">
        <f t="shared" si="101"/>
        <v>0</v>
      </c>
      <c r="N604">
        <f t="shared" si="102"/>
        <v>0</v>
      </c>
      <c r="O604">
        <f t="shared" si="103"/>
        <v>0</v>
      </c>
    </row>
    <row r="605" spans="1:18" hidden="1" x14ac:dyDescent="0.3">
      <c r="A605">
        <v>5590</v>
      </c>
      <c r="B605" t="s">
        <v>1277</v>
      </c>
      <c r="C605" t="s">
        <v>1186</v>
      </c>
      <c r="D605" t="s">
        <v>1278</v>
      </c>
      <c r="E605" t="s">
        <v>13</v>
      </c>
      <c r="F605" t="s">
        <v>39</v>
      </c>
      <c r="G605">
        <v>190</v>
      </c>
      <c r="H605">
        <v>2</v>
      </c>
      <c r="I605" s="16">
        <f t="shared" si="99"/>
        <v>380</v>
      </c>
      <c r="J605">
        <v>2</v>
      </c>
      <c r="K605">
        <f t="shared" si="100"/>
        <v>380</v>
      </c>
      <c r="L605">
        <f t="shared" si="96"/>
        <v>0</v>
      </c>
      <c r="M605">
        <f t="shared" si="101"/>
        <v>0</v>
      </c>
      <c r="N605">
        <f t="shared" si="102"/>
        <v>0</v>
      </c>
      <c r="O605">
        <f t="shared" si="103"/>
        <v>0</v>
      </c>
    </row>
    <row r="606" spans="1:18" hidden="1" x14ac:dyDescent="0.3">
      <c r="A606">
        <v>3554</v>
      </c>
      <c r="B606" t="s">
        <v>1279</v>
      </c>
      <c r="C606" t="s">
        <v>1186</v>
      </c>
      <c r="D606" t="s">
        <v>1280</v>
      </c>
      <c r="E606" t="s">
        <v>13</v>
      </c>
      <c r="F606" t="s">
        <v>116</v>
      </c>
      <c r="G606">
        <v>110</v>
      </c>
      <c r="H606">
        <v>2</v>
      </c>
      <c r="I606" s="16">
        <f t="shared" si="99"/>
        <v>220</v>
      </c>
      <c r="J606">
        <v>2</v>
      </c>
      <c r="K606">
        <f t="shared" si="100"/>
        <v>220</v>
      </c>
      <c r="L606">
        <f t="shared" si="96"/>
        <v>0</v>
      </c>
      <c r="M606">
        <f t="shared" si="101"/>
        <v>0</v>
      </c>
      <c r="N606">
        <f t="shared" si="102"/>
        <v>0</v>
      </c>
      <c r="O606">
        <f t="shared" si="103"/>
        <v>0</v>
      </c>
    </row>
    <row r="607" spans="1:18" hidden="1" x14ac:dyDescent="0.3">
      <c r="A607">
        <v>8216</v>
      </c>
      <c r="B607" t="s">
        <v>1281</v>
      </c>
      <c r="C607" t="s">
        <v>1186</v>
      </c>
      <c r="D607" t="s">
        <v>1282</v>
      </c>
      <c r="E607" t="s">
        <v>13</v>
      </c>
      <c r="F607" t="s">
        <v>123</v>
      </c>
      <c r="G607">
        <v>120</v>
      </c>
      <c r="H607">
        <v>2</v>
      </c>
      <c r="I607" s="16">
        <f t="shared" si="99"/>
        <v>240</v>
      </c>
      <c r="J607">
        <v>2</v>
      </c>
      <c r="K607">
        <f t="shared" si="100"/>
        <v>240</v>
      </c>
      <c r="L607">
        <f t="shared" si="96"/>
        <v>0</v>
      </c>
      <c r="M607">
        <f t="shared" si="101"/>
        <v>0</v>
      </c>
      <c r="N607">
        <f t="shared" si="102"/>
        <v>0</v>
      </c>
      <c r="O607">
        <f t="shared" si="103"/>
        <v>0</v>
      </c>
    </row>
    <row r="608" spans="1:18" hidden="1" x14ac:dyDescent="0.3">
      <c r="A608">
        <v>8043</v>
      </c>
      <c r="B608" t="s">
        <v>1283</v>
      </c>
      <c r="C608" t="s">
        <v>1186</v>
      </c>
      <c r="D608" t="s">
        <v>1284</v>
      </c>
      <c r="E608" t="s">
        <v>13</v>
      </c>
      <c r="F608" t="s">
        <v>123</v>
      </c>
      <c r="G608">
        <v>80</v>
      </c>
      <c r="H608">
        <v>2</v>
      </c>
      <c r="I608" s="16">
        <f t="shared" si="99"/>
        <v>160</v>
      </c>
      <c r="J608">
        <v>2</v>
      </c>
      <c r="K608">
        <f t="shared" si="100"/>
        <v>160</v>
      </c>
      <c r="L608">
        <f t="shared" si="96"/>
        <v>0</v>
      </c>
      <c r="M608">
        <f t="shared" si="101"/>
        <v>0</v>
      </c>
      <c r="N608">
        <f t="shared" si="102"/>
        <v>0</v>
      </c>
      <c r="O608">
        <f t="shared" si="103"/>
        <v>0</v>
      </c>
    </row>
    <row r="609" spans="1:18" ht="18.3" x14ac:dyDescent="0.4">
      <c r="A609">
        <v>3714</v>
      </c>
      <c r="B609" t="s">
        <v>1285</v>
      </c>
      <c r="C609" t="s">
        <v>1186</v>
      </c>
      <c r="D609" t="s">
        <v>1286</v>
      </c>
      <c r="E609" t="s">
        <v>13</v>
      </c>
      <c r="F609" t="s">
        <v>116</v>
      </c>
      <c r="G609">
        <v>210</v>
      </c>
      <c r="H609">
        <v>2</v>
      </c>
      <c r="I609" s="16">
        <f t="shared" si="99"/>
        <v>420</v>
      </c>
      <c r="J609">
        <v>1</v>
      </c>
      <c r="K609">
        <f t="shared" si="100"/>
        <v>210</v>
      </c>
      <c r="L609">
        <f t="shared" si="96"/>
        <v>1</v>
      </c>
      <c r="M609">
        <f t="shared" si="101"/>
        <v>210</v>
      </c>
      <c r="N609">
        <f t="shared" si="102"/>
        <v>52.5</v>
      </c>
      <c r="O609">
        <f t="shared" si="103"/>
        <v>157.5</v>
      </c>
      <c r="R609" s="21" t="str">
        <f>_xlfn.TEXTJOIN("  by ",TRUE,B608,C608)</f>
        <v>Ini... Iniya...  by Pattukottai Prabakar</v>
      </c>
    </row>
    <row r="610" spans="1:18" hidden="1" x14ac:dyDescent="0.3">
      <c r="A610">
        <v>6660</v>
      </c>
      <c r="B610" t="s">
        <v>1287</v>
      </c>
      <c r="C610" t="s">
        <v>1186</v>
      </c>
      <c r="D610" t="s">
        <v>1288</v>
      </c>
      <c r="E610" t="s">
        <v>13</v>
      </c>
      <c r="F610" t="s">
        <v>116</v>
      </c>
      <c r="G610">
        <v>100</v>
      </c>
      <c r="H610">
        <v>2</v>
      </c>
      <c r="I610" s="16">
        <f t="shared" si="99"/>
        <v>200</v>
      </c>
      <c r="J610">
        <v>2</v>
      </c>
      <c r="K610">
        <f t="shared" si="100"/>
        <v>200</v>
      </c>
      <c r="L610">
        <f t="shared" si="96"/>
        <v>0</v>
      </c>
      <c r="M610">
        <f t="shared" si="101"/>
        <v>0</v>
      </c>
      <c r="N610">
        <f t="shared" si="102"/>
        <v>0</v>
      </c>
      <c r="O610">
        <f t="shared" si="103"/>
        <v>0</v>
      </c>
    </row>
    <row r="611" spans="1:18" hidden="1" x14ac:dyDescent="0.3">
      <c r="A611">
        <v>5257</v>
      </c>
      <c r="B611" t="s">
        <v>1289</v>
      </c>
      <c r="C611" t="s">
        <v>1186</v>
      </c>
      <c r="D611" t="s">
        <v>1290</v>
      </c>
      <c r="E611" t="s">
        <v>13</v>
      </c>
      <c r="F611" t="s">
        <v>116</v>
      </c>
      <c r="G611">
        <v>150</v>
      </c>
      <c r="H611">
        <v>2</v>
      </c>
      <c r="I611" s="16">
        <f t="shared" si="99"/>
        <v>300</v>
      </c>
      <c r="J611">
        <v>2</v>
      </c>
      <c r="K611">
        <f t="shared" si="100"/>
        <v>300</v>
      </c>
      <c r="L611">
        <f t="shared" si="96"/>
        <v>0</v>
      </c>
      <c r="M611">
        <f t="shared" si="101"/>
        <v>0</v>
      </c>
      <c r="N611">
        <f t="shared" si="102"/>
        <v>0</v>
      </c>
      <c r="O611">
        <f t="shared" si="103"/>
        <v>0</v>
      </c>
    </row>
    <row r="612" spans="1:18" hidden="1" x14ac:dyDescent="0.3">
      <c r="A612">
        <v>3706</v>
      </c>
      <c r="B612" t="s">
        <v>1291</v>
      </c>
      <c r="C612" t="s">
        <v>1186</v>
      </c>
      <c r="D612" t="s">
        <v>1292</v>
      </c>
      <c r="E612" t="s">
        <v>13</v>
      </c>
      <c r="F612" t="s">
        <v>116</v>
      </c>
      <c r="G612">
        <v>170</v>
      </c>
      <c r="H612">
        <v>2</v>
      </c>
      <c r="I612" s="16">
        <f t="shared" si="99"/>
        <v>340</v>
      </c>
      <c r="J612">
        <v>2</v>
      </c>
      <c r="K612">
        <f t="shared" si="100"/>
        <v>340</v>
      </c>
      <c r="L612">
        <f t="shared" ref="L612:L675" si="105">H612-J612</f>
        <v>0</v>
      </c>
      <c r="M612">
        <f t="shared" si="101"/>
        <v>0</v>
      </c>
      <c r="N612">
        <f t="shared" si="102"/>
        <v>0</v>
      </c>
      <c r="O612">
        <f t="shared" si="103"/>
        <v>0</v>
      </c>
    </row>
    <row r="613" spans="1:18" hidden="1" x14ac:dyDescent="0.3">
      <c r="A613">
        <v>3786</v>
      </c>
      <c r="B613" t="s">
        <v>1293</v>
      </c>
      <c r="C613" t="s">
        <v>1186</v>
      </c>
      <c r="D613" t="s">
        <v>1294</v>
      </c>
      <c r="E613" t="s">
        <v>13</v>
      </c>
      <c r="F613" t="s">
        <v>116</v>
      </c>
      <c r="G613">
        <v>100</v>
      </c>
      <c r="H613">
        <v>2</v>
      </c>
      <c r="I613" s="16">
        <f t="shared" si="99"/>
        <v>200</v>
      </c>
      <c r="J613">
        <v>2</v>
      </c>
      <c r="K613">
        <f t="shared" si="100"/>
        <v>200</v>
      </c>
      <c r="L613">
        <f t="shared" si="105"/>
        <v>0</v>
      </c>
      <c r="M613">
        <f t="shared" si="101"/>
        <v>0</v>
      </c>
      <c r="N613">
        <f t="shared" si="102"/>
        <v>0</v>
      </c>
      <c r="O613">
        <f t="shared" si="103"/>
        <v>0</v>
      </c>
    </row>
    <row r="614" spans="1:18" ht="18.3" x14ac:dyDescent="0.4">
      <c r="A614">
        <v>5458</v>
      </c>
      <c r="B614" t="s">
        <v>1295</v>
      </c>
      <c r="C614" t="s">
        <v>1186</v>
      </c>
      <c r="D614" t="s">
        <v>1296</v>
      </c>
      <c r="E614" t="s">
        <v>13</v>
      </c>
      <c r="F614" t="s">
        <v>123</v>
      </c>
      <c r="G614">
        <v>100</v>
      </c>
      <c r="H614">
        <v>2</v>
      </c>
      <c r="I614" s="16">
        <f t="shared" si="99"/>
        <v>200</v>
      </c>
      <c r="J614">
        <v>0</v>
      </c>
      <c r="K614">
        <f t="shared" si="100"/>
        <v>0</v>
      </c>
      <c r="L614">
        <f t="shared" si="105"/>
        <v>2</v>
      </c>
      <c r="M614">
        <f t="shared" si="101"/>
        <v>200</v>
      </c>
      <c r="N614">
        <f t="shared" si="102"/>
        <v>50</v>
      </c>
      <c r="O614">
        <f t="shared" si="103"/>
        <v>150</v>
      </c>
      <c r="R614" s="21" t="str">
        <f t="shared" ref="R614:R616" si="106">_xlfn.TEXTJOIN("  by ",TRUE,B613,C613)</f>
        <v>Irappathu Sugam...  by Pattukottai Prabakar</v>
      </c>
    </row>
    <row r="615" spans="1:18" ht="18.3" x14ac:dyDescent="0.4">
      <c r="A615">
        <v>6506</v>
      </c>
      <c r="B615" t="s">
        <v>1297</v>
      </c>
      <c r="C615" t="s">
        <v>1186</v>
      </c>
      <c r="D615" t="s">
        <v>1298</v>
      </c>
      <c r="E615" t="s">
        <v>13</v>
      </c>
      <c r="F615" t="s">
        <v>39</v>
      </c>
      <c r="G615">
        <v>90</v>
      </c>
      <c r="H615">
        <v>2</v>
      </c>
      <c r="I615" s="16">
        <f t="shared" si="99"/>
        <v>180</v>
      </c>
      <c r="J615">
        <v>1</v>
      </c>
      <c r="K615">
        <f t="shared" si="100"/>
        <v>90</v>
      </c>
      <c r="L615">
        <f t="shared" si="105"/>
        <v>1</v>
      </c>
      <c r="M615">
        <f t="shared" si="101"/>
        <v>90</v>
      </c>
      <c r="N615">
        <f t="shared" si="102"/>
        <v>22.5</v>
      </c>
      <c r="O615">
        <f t="shared" si="103"/>
        <v>67.5</v>
      </c>
      <c r="R615" s="21" t="str">
        <f t="shared" si="106"/>
        <v>Iravil Arugil Nizhalil...  by Pattukottai Prabakar</v>
      </c>
    </row>
    <row r="616" spans="1:18" ht="18.3" x14ac:dyDescent="0.4">
      <c r="A616">
        <v>8105</v>
      </c>
      <c r="B616" t="s">
        <v>1299</v>
      </c>
      <c r="C616" t="s">
        <v>1186</v>
      </c>
      <c r="D616" t="s">
        <v>1300</v>
      </c>
      <c r="E616" t="s">
        <v>13</v>
      </c>
      <c r="F616" t="s">
        <v>123</v>
      </c>
      <c r="G616">
        <v>110</v>
      </c>
      <c r="H616">
        <v>2</v>
      </c>
      <c r="I616" s="16">
        <f t="shared" si="99"/>
        <v>220</v>
      </c>
      <c r="J616">
        <v>1</v>
      </c>
      <c r="K616">
        <f t="shared" si="100"/>
        <v>110</v>
      </c>
      <c r="L616">
        <f t="shared" si="105"/>
        <v>1</v>
      </c>
      <c r="M616">
        <f t="shared" si="101"/>
        <v>110</v>
      </c>
      <c r="N616">
        <f t="shared" si="102"/>
        <v>27.5</v>
      </c>
      <c r="O616">
        <f t="shared" si="103"/>
        <v>82.5</v>
      </c>
      <c r="R616" s="21" t="str">
        <f t="shared" si="106"/>
        <v>Iravugal Kanavukkaga...  by Pattukottai Prabakar</v>
      </c>
    </row>
    <row r="617" spans="1:18" hidden="1" x14ac:dyDescent="0.3">
      <c r="A617">
        <v>8220</v>
      </c>
      <c r="B617" t="s">
        <v>1301</v>
      </c>
      <c r="C617" t="s">
        <v>1186</v>
      </c>
      <c r="D617" t="s">
        <v>1302</v>
      </c>
      <c r="E617" t="s">
        <v>13</v>
      </c>
      <c r="F617" t="s">
        <v>123</v>
      </c>
      <c r="G617">
        <v>100</v>
      </c>
      <c r="H617">
        <v>2</v>
      </c>
      <c r="I617" s="16">
        <f t="shared" si="99"/>
        <v>200</v>
      </c>
      <c r="J617">
        <v>2</v>
      </c>
      <c r="K617">
        <f t="shared" si="100"/>
        <v>200</v>
      </c>
      <c r="L617">
        <f t="shared" si="105"/>
        <v>0</v>
      </c>
      <c r="M617">
        <f t="shared" si="101"/>
        <v>0</v>
      </c>
      <c r="N617">
        <f t="shared" si="102"/>
        <v>0</v>
      </c>
      <c r="O617">
        <f t="shared" si="103"/>
        <v>0</v>
      </c>
    </row>
    <row r="618" spans="1:18" hidden="1" x14ac:dyDescent="0.3">
      <c r="A618">
        <v>6978</v>
      </c>
      <c r="B618" t="s">
        <v>1303</v>
      </c>
      <c r="C618" t="s">
        <v>1186</v>
      </c>
      <c r="D618" t="s">
        <v>1304</v>
      </c>
      <c r="E618" t="s">
        <v>13</v>
      </c>
      <c r="F618" t="s">
        <v>116</v>
      </c>
      <c r="G618">
        <v>90</v>
      </c>
      <c r="H618">
        <v>2</v>
      </c>
      <c r="I618" s="16">
        <f t="shared" si="99"/>
        <v>180</v>
      </c>
      <c r="J618">
        <v>2</v>
      </c>
      <c r="K618">
        <f t="shared" si="100"/>
        <v>180</v>
      </c>
      <c r="L618">
        <f t="shared" si="105"/>
        <v>0</v>
      </c>
      <c r="M618">
        <f t="shared" si="101"/>
        <v>0</v>
      </c>
      <c r="N618">
        <f t="shared" si="102"/>
        <v>0</v>
      </c>
      <c r="O618">
        <f t="shared" si="103"/>
        <v>0</v>
      </c>
    </row>
    <row r="619" spans="1:18" hidden="1" x14ac:dyDescent="0.3">
      <c r="A619">
        <v>4469</v>
      </c>
      <c r="B619" t="s">
        <v>1305</v>
      </c>
      <c r="C619" t="s">
        <v>1186</v>
      </c>
      <c r="D619" t="s">
        <v>1306</v>
      </c>
      <c r="E619" t="s">
        <v>13</v>
      </c>
      <c r="F619" t="s">
        <v>39</v>
      </c>
      <c r="G619">
        <v>100</v>
      </c>
      <c r="H619">
        <v>2</v>
      </c>
      <c r="I619" s="16">
        <f t="shared" si="99"/>
        <v>200</v>
      </c>
      <c r="J619">
        <v>2</v>
      </c>
      <c r="K619">
        <f t="shared" si="100"/>
        <v>200</v>
      </c>
      <c r="L619">
        <f t="shared" si="105"/>
        <v>0</v>
      </c>
      <c r="M619">
        <f t="shared" si="101"/>
        <v>0</v>
      </c>
      <c r="N619">
        <f t="shared" si="102"/>
        <v>0</v>
      </c>
      <c r="O619">
        <f t="shared" si="103"/>
        <v>0</v>
      </c>
    </row>
    <row r="620" spans="1:18" ht="18.3" x14ac:dyDescent="0.4">
      <c r="A620">
        <v>5538</v>
      </c>
      <c r="B620" t="s">
        <v>1307</v>
      </c>
      <c r="C620" t="s">
        <v>1186</v>
      </c>
      <c r="D620" t="s">
        <v>1308</v>
      </c>
      <c r="E620" t="s">
        <v>13</v>
      </c>
      <c r="F620" t="s">
        <v>116</v>
      </c>
      <c r="G620">
        <v>110</v>
      </c>
      <c r="H620">
        <v>2</v>
      </c>
      <c r="I620" s="16">
        <f t="shared" si="99"/>
        <v>220</v>
      </c>
      <c r="J620">
        <v>1</v>
      </c>
      <c r="K620">
        <f t="shared" si="100"/>
        <v>110</v>
      </c>
      <c r="L620">
        <f t="shared" si="105"/>
        <v>1</v>
      </c>
      <c r="M620">
        <f t="shared" si="101"/>
        <v>110</v>
      </c>
      <c r="N620">
        <f t="shared" si="102"/>
        <v>27.5</v>
      </c>
      <c r="O620">
        <f t="shared" si="103"/>
        <v>82.5</v>
      </c>
      <c r="R620" s="21" t="str">
        <f t="shared" ref="R620:R623" si="107">_xlfn.TEXTJOIN("  by ",TRUE,B619,C619)</f>
        <v>Ithu Puthu Sugam  by Pattukottai Prabakar</v>
      </c>
    </row>
    <row r="621" spans="1:18" ht="18.3" x14ac:dyDescent="0.4">
      <c r="A621">
        <v>5029</v>
      </c>
      <c r="B621" t="s">
        <v>1309</v>
      </c>
      <c r="C621" t="s">
        <v>1186</v>
      </c>
      <c r="D621" t="s">
        <v>1310</v>
      </c>
      <c r="E621" t="s">
        <v>13</v>
      </c>
      <c r="F621" t="s">
        <v>44</v>
      </c>
      <c r="G621">
        <v>280</v>
      </c>
      <c r="H621">
        <v>2</v>
      </c>
      <c r="I621" s="16">
        <f t="shared" si="99"/>
        <v>560</v>
      </c>
      <c r="J621">
        <v>0</v>
      </c>
      <c r="K621">
        <f t="shared" si="100"/>
        <v>0</v>
      </c>
      <c r="L621">
        <f t="shared" si="105"/>
        <v>2</v>
      </c>
      <c r="M621">
        <f t="shared" si="101"/>
        <v>560</v>
      </c>
      <c r="N621">
        <f t="shared" si="102"/>
        <v>140</v>
      </c>
      <c r="O621">
        <f t="shared" si="103"/>
        <v>420</v>
      </c>
      <c r="R621" s="21" t="str">
        <f t="shared" si="107"/>
        <v>Ithu Raathiri Neram  by Pattukottai Prabakar</v>
      </c>
    </row>
    <row r="622" spans="1:18" ht="18.3" x14ac:dyDescent="0.4">
      <c r="A622">
        <v>6668</v>
      </c>
      <c r="B622" t="s">
        <v>1311</v>
      </c>
      <c r="C622" t="s">
        <v>1186</v>
      </c>
      <c r="D622" t="s">
        <v>1312</v>
      </c>
      <c r="E622" t="s">
        <v>13</v>
      </c>
      <c r="F622" t="s">
        <v>116</v>
      </c>
      <c r="G622">
        <v>170</v>
      </c>
      <c r="H622">
        <v>2</v>
      </c>
      <c r="I622" s="16">
        <f t="shared" si="99"/>
        <v>340</v>
      </c>
      <c r="J622">
        <v>0</v>
      </c>
      <c r="K622">
        <f t="shared" si="100"/>
        <v>0</v>
      </c>
      <c r="L622">
        <f t="shared" si="105"/>
        <v>2</v>
      </c>
      <c r="M622">
        <f t="shared" si="101"/>
        <v>340</v>
      </c>
      <c r="N622">
        <f t="shared" si="102"/>
        <v>85</v>
      </c>
      <c r="O622">
        <f t="shared" si="103"/>
        <v>255</v>
      </c>
      <c r="R622" s="21" t="str">
        <f t="shared" si="107"/>
        <v>Jannal Kaithigal  by Pattukottai Prabakar</v>
      </c>
    </row>
    <row r="623" spans="1:18" ht="18.3" x14ac:dyDescent="0.4">
      <c r="A623">
        <v>5479</v>
      </c>
      <c r="B623" t="s">
        <v>1313</v>
      </c>
      <c r="C623" t="s">
        <v>1186</v>
      </c>
      <c r="D623" t="s">
        <v>1314</v>
      </c>
      <c r="E623" t="s">
        <v>13</v>
      </c>
      <c r="F623" t="s">
        <v>116</v>
      </c>
      <c r="G623">
        <v>170</v>
      </c>
      <c r="H623">
        <v>2</v>
      </c>
      <c r="I623" s="16">
        <f t="shared" si="99"/>
        <v>340</v>
      </c>
      <c r="J623">
        <v>1</v>
      </c>
      <c r="K623">
        <f t="shared" si="100"/>
        <v>170</v>
      </c>
      <c r="L623">
        <f t="shared" si="105"/>
        <v>1</v>
      </c>
      <c r="M623">
        <f t="shared" si="101"/>
        <v>170</v>
      </c>
      <c r="N623">
        <f t="shared" si="102"/>
        <v>42.5</v>
      </c>
      <c r="O623">
        <f t="shared" si="103"/>
        <v>127.5</v>
      </c>
      <c r="R623" s="21" t="str">
        <f t="shared" si="107"/>
        <v>January February Mortuary  by Pattukottai Prabakar</v>
      </c>
    </row>
    <row r="624" spans="1:18" hidden="1" x14ac:dyDescent="0.3">
      <c r="A624">
        <v>5495</v>
      </c>
      <c r="B624" t="s">
        <v>1315</v>
      </c>
      <c r="C624" t="s">
        <v>1186</v>
      </c>
      <c r="D624" t="s">
        <v>1316</v>
      </c>
      <c r="E624" t="s">
        <v>13</v>
      </c>
      <c r="F624" t="s">
        <v>39</v>
      </c>
      <c r="G624">
        <v>90</v>
      </c>
      <c r="H624">
        <v>2</v>
      </c>
      <c r="I624" s="16">
        <f t="shared" si="99"/>
        <v>180</v>
      </c>
      <c r="J624">
        <v>2</v>
      </c>
      <c r="K624">
        <f t="shared" si="100"/>
        <v>180</v>
      </c>
      <c r="L624">
        <f t="shared" si="105"/>
        <v>0</v>
      </c>
      <c r="M624">
        <f t="shared" si="101"/>
        <v>0</v>
      </c>
      <c r="N624">
        <f t="shared" si="102"/>
        <v>0</v>
      </c>
      <c r="O624">
        <f t="shared" si="103"/>
        <v>0</v>
      </c>
    </row>
    <row r="625" spans="1:18" hidden="1" x14ac:dyDescent="0.3">
      <c r="A625">
        <v>8214</v>
      </c>
      <c r="B625" t="s">
        <v>1317</v>
      </c>
      <c r="C625" t="s">
        <v>1186</v>
      </c>
      <c r="D625" t="s">
        <v>1318</v>
      </c>
      <c r="E625" t="s">
        <v>13</v>
      </c>
      <c r="F625" t="s">
        <v>123</v>
      </c>
      <c r="G625">
        <v>110</v>
      </c>
      <c r="H625">
        <v>2</v>
      </c>
      <c r="I625" s="16">
        <f t="shared" si="99"/>
        <v>220</v>
      </c>
      <c r="J625">
        <v>2</v>
      </c>
      <c r="K625">
        <f t="shared" si="100"/>
        <v>220</v>
      </c>
      <c r="L625">
        <f t="shared" si="105"/>
        <v>0</v>
      </c>
      <c r="M625">
        <f t="shared" si="101"/>
        <v>0</v>
      </c>
      <c r="N625">
        <f t="shared" si="102"/>
        <v>0</v>
      </c>
      <c r="O625">
        <f t="shared" si="103"/>
        <v>0</v>
      </c>
    </row>
    <row r="626" spans="1:18" hidden="1" x14ac:dyDescent="0.3">
      <c r="A626">
        <v>5494</v>
      </c>
      <c r="B626" t="s">
        <v>1319</v>
      </c>
      <c r="C626" t="s">
        <v>1186</v>
      </c>
      <c r="D626" t="s">
        <v>1320</v>
      </c>
      <c r="E626" t="s">
        <v>13</v>
      </c>
      <c r="F626" t="s">
        <v>116</v>
      </c>
      <c r="G626">
        <v>210</v>
      </c>
      <c r="H626">
        <v>2</v>
      </c>
      <c r="I626" s="16">
        <f t="shared" si="99"/>
        <v>420</v>
      </c>
      <c r="J626">
        <v>2</v>
      </c>
      <c r="K626">
        <f t="shared" si="100"/>
        <v>420</v>
      </c>
      <c r="L626">
        <f t="shared" si="105"/>
        <v>0</v>
      </c>
      <c r="M626">
        <f t="shared" si="101"/>
        <v>0</v>
      </c>
      <c r="N626">
        <f t="shared" si="102"/>
        <v>0</v>
      </c>
      <c r="O626">
        <f t="shared" si="103"/>
        <v>0</v>
      </c>
    </row>
    <row r="627" spans="1:18" hidden="1" x14ac:dyDescent="0.3">
      <c r="A627">
        <v>9635</v>
      </c>
      <c r="B627" t="s">
        <v>1321</v>
      </c>
      <c r="C627" t="s">
        <v>1186</v>
      </c>
      <c r="D627" t="s">
        <v>1322</v>
      </c>
      <c r="E627" t="s">
        <v>13</v>
      </c>
      <c r="F627" t="s">
        <v>116</v>
      </c>
      <c r="G627">
        <v>130</v>
      </c>
      <c r="H627">
        <v>2</v>
      </c>
      <c r="I627" s="16">
        <f t="shared" si="99"/>
        <v>260</v>
      </c>
      <c r="J627">
        <v>2</v>
      </c>
      <c r="K627">
        <f t="shared" si="100"/>
        <v>260</v>
      </c>
      <c r="L627">
        <f t="shared" si="105"/>
        <v>0</v>
      </c>
      <c r="M627">
        <f t="shared" si="101"/>
        <v>0</v>
      </c>
      <c r="N627">
        <f t="shared" si="102"/>
        <v>0</v>
      </c>
      <c r="O627">
        <f t="shared" si="103"/>
        <v>0</v>
      </c>
    </row>
    <row r="628" spans="1:18" ht="18.3" x14ac:dyDescent="0.4">
      <c r="A628">
        <v>9820</v>
      </c>
      <c r="B628" t="s">
        <v>1323</v>
      </c>
      <c r="C628" t="s">
        <v>1186</v>
      </c>
      <c r="D628" t="s">
        <v>1324</v>
      </c>
      <c r="E628" t="s">
        <v>13</v>
      </c>
      <c r="F628" t="s">
        <v>123</v>
      </c>
      <c r="G628">
        <v>160</v>
      </c>
      <c r="H628">
        <v>2</v>
      </c>
      <c r="I628" s="16">
        <f t="shared" si="99"/>
        <v>320</v>
      </c>
      <c r="J628">
        <v>0</v>
      </c>
      <c r="K628">
        <f t="shared" si="100"/>
        <v>0</v>
      </c>
      <c r="L628">
        <f t="shared" si="105"/>
        <v>2</v>
      </c>
      <c r="M628">
        <f t="shared" si="101"/>
        <v>320</v>
      </c>
      <c r="N628">
        <f t="shared" si="102"/>
        <v>80</v>
      </c>
      <c r="O628">
        <f t="shared" si="103"/>
        <v>240</v>
      </c>
      <c r="R628" s="21" t="str">
        <f>_xlfn.TEXTJOIN("  by ",TRUE,B627,C627)</f>
        <v>Kaathiru, Kaadhalikkirean!  by Pattukottai Prabakar</v>
      </c>
    </row>
    <row r="629" spans="1:18" hidden="1" x14ac:dyDescent="0.3">
      <c r="A629">
        <v>5771</v>
      </c>
      <c r="B629" t="s">
        <v>1325</v>
      </c>
      <c r="C629" t="s">
        <v>1186</v>
      </c>
      <c r="D629" t="s">
        <v>1326</v>
      </c>
      <c r="E629" t="s">
        <v>13</v>
      </c>
      <c r="F629" t="s">
        <v>116</v>
      </c>
      <c r="G629">
        <v>170</v>
      </c>
      <c r="H629">
        <v>2</v>
      </c>
      <c r="I629" s="16">
        <f t="shared" si="99"/>
        <v>340</v>
      </c>
      <c r="J629">
        <v>2</v>
      </c>
      <c r="K629">
        <f t="shared" si="100"/>
        <v>340</v>
      </c>
      <c r="L629">
        <f t="shared" si="105"/>
        <v>0</v>
      </c>
      <c r="M629">
        <f t="shared" si="101"/>
        <v>0</v>
      </c>
      <c r="N629">
        <f t="shared" si="102"/>
        <v>0</v>
      </c>
      <c r="O629">
        <f t="shared" si="103"/>
        <v>0</v>
      </c>
    </row>
    <row r="630" spans="1:18" hidden="1" x14ac:dyDescent="0.3">
      <c r="A630">
        <v>6981</v>
      </c>
      <c r="B630" t="s">
        <v>1327</v>
      </c>
      <c r="C630" t="s">
        <v>1186</v>
      </c>
      <c r="D630" t="s">
        <v>1328</v>
      </c>
      <c r="E630" t="s">
        <v>13</v>
      </c>
      <c r="F630" t="s">
        <v>116</v>
      </c>
      <c r="G630">
        <v>100</v>
      </c>
      <c r="H630">
        <v>2</v>
      </c>
      <c r="I630" s="16">
        <f t="shared" si="99"/>
        <v>200</v>
      </c>
      <c r="J630">
        <v>2</v>
      </c>
      <c r="K630">
        <f t="shared" si="100"/>
        <v>200</v>
      </c>
      <c r="L630">
        <f t="shared" si="105"/>
        <v>0</v>
      </c>
      <c r="M630">
        <f t="shared" si="101"/>
        <v>0</v>
      </c>
      <c r="N630">
        <f t="shared" si="102"/>
        <v>0</v>
      </c>
      <c r="O630">
        <f t="shared" si="103"/>
        <v>0</v>
      </c>
    </row>
    <row r="631" spans="1:18" ht="18.3" x14ac:dyDescent="0.4">
      <c r="A631">
        <v>7003</v>
      </c>
      <c r="B631" t="s">
        <v>1329</v>
      </c>
      <c r="C631" t="s">
        <v>1186</v>
      </c>
      <c r="D631" t="s">
        <v>1330</v>
      </c>
      <c r="E631" t="s">
        <v>13</v>
      </c>
      <c r="F631" t="s">
        <v>39</v>
      </c>
      <c r="G631">
        <v>100</v>
      </c>
      <c r="H631">
        <v>2</v>
      </c>
      <c r="I631" s="16">
        <f t="shared" si="99"/>
        <v>200</v>
      </c>
      <c r="J631">
        <v>1</v>
      </c>
      <c r="K631">
        <f t="shared" si="100"/>
        <v>100</v>
      </c>
      <c r="L631">
        <f t="shared" si="105"/>
        <v>1</v>
      </c>
      <c r="M631">
        <f t="shared" si="101"/>
        <v>100</v>
      </c>
      <c r="N631">
        <f t="shared" si="102"/>
        <v>25</v>
      </c>
      <c r="O631">
        <f t="shared" si="103"/>
        <v>75</v>
      </c>
      <c r="R631" s="21" t="str">
        <f>_xlfn.TEXTJOIN("  by ",TRUE,B630,C630)</f>
        <v>Kadaisi Thotta  by Pattukottai Prabakar</v>
      </c>
    </row>
    <row r="632" spans="1:18" hidden="1" x14ac:dyDescent="0.3">
      <c r="A632">
        <v>5457</v>
      </c>
      <c r="B632" t="s">
        <v>1331</v>
      </c>
      <c r="C632" t="s">
        <v>1186</v>
      </c>
      <c r="D632" t="s">
        <v>1332</v>
      </c>
      <c r="E632" t="s">
        <v>13</v>
      </c>
      <c r="F632" t="s">
        <v>14</v>
      </c>
      <c r="G632">
        <v>290</v>
      </c>
      <c r="H632">
        <v>2</v>
      </c>
      <c r="I632" s="16">
        <f t="shared" si="99"/>
        <v>580</v>
      </c>
      <c r="J632">
        <v>2</v>
      </c>
      <c r="K632">
        <f t="shared" si="100"/>
        <v>580</v>
      </c>
      <c r="L632">
        <f t="shared" si="105"/>
        <v>0</v>
      </c>
      <c r="M632">
        <f t="shared" si="101"/>
        <v>0</v>
      </c>
      <c r="N632">
        <f t="shared" si="102"/>
        <v>0</v>
      </c>
      <c r="O632">
        <f t="shared" si="103"/>
        <v>0</v>
      </c>
    </row>
    <row r="633" spans="1:18" ht="18.3" x14ac:dyDescent="0.4">
      <c r="A633">
        <v>5460</v>
      </c>
      <c r="B633" t="s">
        <v>1333</v>
      </c>
      <c r="C633" t="s">
        <v>1186</v>
      </c>
      <c r="D633" t="s">
        <v>1334</v>
      </c>
      <c r="E633" t="s">
        <v>13</v>
      </c>
      <c r="F633" t="s">
        <v>116</v>
      </c>
      <c r="G633">
        <v>240</v>
      </c>
      <c r="H633">
        <v>2</v>
      </c>
      <c r="I633" s="16">
        <f t="shared" si="99"/>
        <v>480</v>
      </c>
      <c r="J633">
        <v>0</v>
      </c>
      <c r="K633">
        <f t="shared" si="100"/>
        <v>0</v>
      </c>
      <c r="L633">
        <f t="shared" si="105"/>
        <v>2</v>
      </c>
      <c r="M633">
        <f t="shared" si="101"/>
        <v>480</v>
      </c>
      <c r="N633">
        <f t="shared" si="102"/>
        <v>120</v>
      </c>
      <c r="O633">
        <f t="shared" si="103"/>
        <v>360</v>
      </c>
      <c r="R633" s="21" t="str">
        <f t="shared" ref="R633:R634" si="108">_xlfn.TEXTJOIN("  by ",TRUE,B632,C632)</f>
        <v>Kanavugal Ilavasam  by Pattukottai Prabakar</v>
      </c>
    </row>
    <row r="634" spans="1:18" ht="18.3" x14ac:dyDescent="0.4">
      <c r="A634">
        <v>5132</v>
      </c>
      <c r="B634" t="s">
        <v>1335</v>
      </c>
      <c r="C634" t="s">
        <v>1186</v>
      </c>
      <c r="D634" t="s">
        <v>1336</v>
      </c>
      <c r="E634" t="s">
        <v>13</v>
      </c>
      <c r="F634" t="s">
        <v>116</v>
      </c>
      <c r="G634">
        <v>230</v>
      </c>
      <c r="H634">
        <v>2</v>
      </c>
      <c r="I634" s="16">
        <f t="shared" si="99"/>
        <v>460</v>
      </c>
      <c r="J634">
        <v>0</v>
      </c>
      <c r="K634">
        <f t="shared" si="100"/>
        <v>0</v>
      </c>
      <c r="L634">
        <f t="shared" si="105"/>
        <v>2</v>
      </c>
      <c r="M634">
        <f t="shared" si="101"/>
        <v>460</v>
      </c>
      <c r="N634">
        <f t="shared" si="102"/>
        <v>115</v>
      </c>
      <c r="O634">
        <f t="shared" si="103"/>
        <v>345</v>
      </c>
      <c r="R634" s="21" t="str">
        <f t="shared" si="108"/>
        <v>Kathi Kappal  by Pattukottai Prabakar</v>
      </c>
    </row>
    <row r="635" spans="1:18" hidden="1" x14ac:dyDescent="0.3">
      <c r="A635">
        <v>6985</v>
      </c>
      <c r="B635" t="s">
        <v>1337</v>
      </c>
      <c r="C635" t="s">
        <v>1186</v>
      </c>
      <c r="D635" t="s">
        <v>1338</v>
      </c>
      <c r="E635" t="s">
        <v>13</v>
      </c>
      <c r="F635" t="s">
        <v>116</v>
      </c>
      <c r="G635">
        <v>110</v>
      </c>
      <c r="H635">
        <v>2</v>
      </c>
      <c r="I635" s="16">
        <f t="shared" si="99"/>
        <v>220</v>
      </c>
      <c r="J635">
        <v>2</v>
      </c>
      <c r="K635">
        <f t="shared" si="100"/>
        <v>220</v>
      </c>
      <c r="L635">
        <f t="shared" si="105"/>
        <v>0</v>
      </c>
      <c r="M635">
        <f t="shared" si="101"/>
        <v>0</v>
      </c>
      <c r="N635">
        <f t="shared" si="102"/>
        <v>0</v>
      </c>
      <c r="O635">
        <f t="shared" si="103"/>
        <v>0</v>
      </c>
    </row>
    <row r="636" spans="1:18" ht="18.3" x14ac:dyDescent="0.4">
      <c r="A636">
        <v>8217</v>
      </c>
      <c r="B636" t="s">
        <v>1339</v>
      </c>
      <c r="C636" t="s">
        <v>1186</v>
      </c>
      <c r="D636" t="s">
        <v>1340</v>
      </c>
      <c r="E636" t="s">
        <v>13</v>
      </c>
      <c r="F636" t="s">
        <v>123</v>
      </c>
      <c r="G636">
        <v>100</v>
      </c>
      <c r="H636">
        <v>2</v>
      </c>
      <c r="I636" s="16">
        <f t="shared" si="99"/>
        <v>200</v>
      </c>
      <c r="J636">
        <v>0</v>
      </c>
      <c r="K636">
        <f t="shared" si="100"/>
        <v>0</v>
      </c>
      <c r="L636">
        <f t="shared" si="105"/>
        <v>2</v>
      </c>
      <c r="M636">
        <f t="shared" si="101"/>
        <v>200</v>
      </c>
      <c r="N636">
        <f t="shared" si="102"/>
        <v>50</v>
      </c>
      <c r="O636">
        <f t="shared" si="103"/>
        <v>150</v>
      </c>
      <c r="R636" s="21" t="str">
        <f t="shared" ref="R636:R637" si="109">_xlfn.TEXTJOIN("  by ",TRUE,B635,C635)</f>
        <v>Kavalai Neram Kaalai 10 Mani  by Pattukottai Prabakar</v>
      </c>
    </row>
    <row r="637" spans="1:18" ht="18.3" x14ac:dyDescent="0.4">
      <c r="A637">
        <v>6670</v>
      </c>
      <c r="B637" t="s">
        <v>1341</v>
      </c>
      <c r="C637" t="s">
        <v>1186</v>
      </c>
      <c r="D637" t="s">
        <v>1342</v>
      </c>
      <c r="E637" t="s">
        <v>13</v>
      </c>
      <c r="F637" t="s">
        <v>116</v>
      </c>
      <c r="G637">
        <v>110</v>
      </c>
      <c r="H637">
        <v>2</v>
      </c>
      <c r="I637" s="16">
        <f t="shared" si="99"/>
        <v>220</v>
      </c>
      <c r="J637">
        <v>1</v>
      </c>
      <c r="K637">
        <f t="shared" si="100"/>
        <v>110</v>
      </c>
      <c r="L637">
        <f t="shared" si="105"/>
        <v>1</v>
      </c>
      <c r="M637">
        <f t="shared" si="101"/>
        <v>110</v>
      </c>
      <c r="N637">
        <f t="shared" si="102"/>
        <v>27.5</v>
      </c>
      <c r="O637">
        <f t="shared" si="103"/>
        <v>82.5</v>
      </c>
      <c r="R637" s="21" t="str">
        <f t="shared" si="109"/>
        <v>Kekkathey - Kidaikkathu!  by Pattukottai Prabakar</v>
      </c>
    </row>
    <row r="638" spans="1:18" hidden="1" x14ac:dyDescent="0.3">
      <c r="A638">
        <v>6500</v>
      </c>
      <c r="B638" t="s">
        <v>1343</v>
      </c>
      <c r="C638" t="s">
        <v>1186</v>
      </c>
      <c r="D638" t="s">
        <v>1344</v>
      </c>
      <c r="E638" t="s">
        <v>13</v>
      </c>
      <c r="F638" t="s">
        <v>116</v>
      </c>
      <c r="G638">
        <v>120</v>
      </c>
      <c r="H638">
        <v>2</v>
      </c>
      <c r="I638" s="16">
        <f t="shared" si="99"/>
        <v>240</v>
      </c>
      <c r="J638">
        <v>2</v>
      </c>
      <c r="K638">
        <f t="shared" si="100"/>
        <v>240</v>
      </c>
      <c r="L638">
        <f t="shared" si="105"/>
        <v>0</v>
      </c>
      <c r="M638">
        <f t="shared" si="101"/>
        <v>0</v>
      </c>
      <c r="N638">
        <f t="shared" si="102"/>
        <v>0</v>
      </c>
      <c r="O638">
        <f t="shared" si="103"/>
        <v>0</v>
      </c>
    </row>
    <row r="639" spans="1:18" ht="18.3" x14ac:dyDescent="0.4">
      <c r="A639">
        <v>8112</v>
      </c>
      <c r="B639" t="s">
        <v>1345</v>
      </c>
      <c r="C639" t="s">
        <v>1186</v>
      </c>
      <c r="D639" t="s">
        <v>1346</v>
      </c>
      <c r="E639" t="s">
        <v>13</v>
      </c>
      <c r="F639" t="s">
        <v>123</v>
      </c>
      <c r="G639">
        <v>90</v>
      </c>
      <c r="H639">
        <v>2</v>
      </c>
      <c r="I639" s="16">
        <f t="shared" si="99"/>
        <v>180</v>
      </c>
      <c r="J639">
        <v>0</v>
      </c>
      <c r="K639">
        <f t="shared" si="100"/>
        <v>0</v>
      </c>
      <c r="L639">
        <f t="shared" si="105"/>
        <v>2</v>
      </c>
      <c r="M639">
        <f t="shared" si="101"/>
        <v>180</v>
      </c>
      <c r="N639">
        <f t="shared" si="102"/>
        <v>45</v>
      </c>
      <c r="O639">
        <f t="shared" si="103"/>
        <v>135</v>
      </c>
      <c r="R639" s="21" t="str">
        <f>_xlfn.TEXTJOIN("  by ",TRUE,B638,C638)</f>
        <v>Kulirkaala Kutravaligal  by Pattukottai Prabakar</v>
      </c>
    </row>
    <row r="640" spans="1:18" hidden="1" x14ac:dyDescent="0.3">
      <c r="A640">
        <v>3957</v>
      </c>
      <c r="B640" t="s">
        <v>1347</v>
      </c>
      <c r="C640" t="s">
        <v>1186</v>
      </c>
      <c r="D640" t="s">
        <v>1348</v>
      </c>
      <c r="E640" t="s">
        <v>13</v>
      </c>
      <c r="F640" t="s">
        <v>116</v>
      </c>
      <c r="G640">
        <v>110</v>
      </c>
      <c r="H640">
        <v>2</v>
      </c>
      <c r="I640" s="16">
        <f t="shared" si="99"/>
        <v>220</v>
      </c>
      <c r="J640">
        <v>2</v>
      </c>
      <c r="K640">
        <f t="shared" si="100"/>
        <v>220</v>
      </c>
      <c r="L640">
        <f t="shared" si="105"/>
        <v>0</v>
      </c>
      <c r="M640">
        <f t="shared" si="101"/>
        <v>0</v>
      </c>
      <c r="N640">
        <f t="shared" si="102"/>
        <v>0</v>
      </c>
      <c r="O640">
        <f t="shared" si="103"/>
        <v>0</v>
      </c>
    </row>
    <row r="641" spans="1:18" hidden="1" x14ac:dyDescent="0.3">
      <c r="A641">
        <v>8064</v>
      </c>
      <c r="B641" t="s">
        <v>1349</v>
      </c>
      <c r="C641" t="s">
        <v>1186</v>
      </c>
      <c r="D641" t="s">
        <v>1350</v>
      </c>
      <c r="E641" t="s">
        <v>13</v>
      </c>
      <c r="F641" t="s">
        <v>123</v>
      </c>
      <c r="G641">
        <v>110</v>
      </c>
      <c r="H641">
        <v>2</v>
      </c>
      <c r="I641" s="16">
        <f t="shared" si="99"/>
        <v>220</v>
      </c>
      <c r="J641">
        <v>2</v>
      </c>
      <c r="K641">
        <f t="shared" si="100"/>
        <v>220</v>
      </c>
      <c r="L641">
        <f t="shared" si="105"/>
        <v>0</v>
      </c>
      <c r="M641">
        <f t="shared" si="101"/>
        <v>0</v>
      </c>
      <c r="N641">
        <f t="shared" si="102"/>
        <v>0</v>
      </c>
      <c r="O641">
        <f t="shared" si="103"/>
        <v>0</v>
      </c>
    </row>
    <row r="642" spans="1:18" hidden="1" x14ac:dyDescent="0.3">
      <c r="A642">
        <v>10058</v>
      </c>
      <c r="B642" t="s">
        <v>1351</v>
      </c>
      <c r="C642" t="s">
        <v>1186</v>
      </c>
      <c r="D642" t="s">
        <v>1352</v>
      </c>
      <c r="E642" t="s">
        <v>13</v>
      </c>
      <c r="F642" t="s">
        <v>144</v>
      </c>
      <c r="G642">
        <v>100</v>
      </c>
      <c r="H642">
        <v>2</v>
      </c>
      <c r="I642" s="16">
        <f t="shared" si="99"/>
        <v>200</v>
      </c>
      <c r="J642">
        <v>2</v>
      </c>
      <c r="K642">
        <f t="shared" si="100"/>
        <v>200</v>
      </c>
      <c r="L642">
        <f t="shared" si="105"/>
        <v>0</v>
      </c>
      <c r="M642">
        <f t="shared" si="101"/>
        <v>0</v>
      </c>
      <c r="N642">
        <f t="shared" si="102"/>
        <v>0</v>
      </c>
      <c r="O642">
        <f t="shared" si="103"/>
        <v>0</v>
      </c>
    </row>
    <row r="643" spans="1:18" ht="18.3" x14ac:dyDescent="0.4">
      <c r="A643">
        <v>6</v>
      </c>
      <c r="B643" t="s">
        <v>1353</v>
      </c>
      <c r="C643" t="s">
        <v>1186</v>
      </c>
      <c r="D643" t="s">
        <v>1354</v>
      </c>
      <c r="E643" t="s">
        <v>13</v>
      </c>
      <c r="F643" t="s">
        <v>14</v>
      </c>
      <c r="G643">
        <v>270</v>
      </c>
      <c r="H643">
        <v>2</v>
      </c>
      <c r="I643" s="16">
        <f t="shared" ref="I643:I706" si="110">H643*G643</f>
        <v>540</v>
      </c>
      <c r="J643">
        <v>1</v>
      </c>
      <c r="K643">
        <f t="shared" ref="K643:K706" si="111">J643*G643</f>
        <v>270</v>
      </c>
      <c r="L643">
        <f t="shared" si="105"/>
        <v>1</v>
      </c>
      <c r="M643">
        <f t="shared" ref="M643:M706" si="112">L643*G643</f>
        <v>270</v>
      </c>
      <c r="N643">
        <f t="shared" ref="N643:N706" si="113">M643*0.25</f>
        <v>67.5</v>
      </c>
      <c r="O643">
        <f t="shared" ref="O643:O706" si="114">M643-N643</f>
        <v>202.5</v>
      </c>
      <c r="R643" s="21" t="str">
        <f>_xlfn.TEXTJOIN("  by ",TRUE,B642,C642)</f>
        <v>Mad In India  by Pattukottai Prabakar</v>
      </c>
    </row>
    <row r="644" spans="1:18" hidden="1" x14ac:dyDescent="0.3">
      <c r="A644">
        <v>5286</v>
      </c>
      <c r="B644" t="s">
        <v>1355</v>
      </c>
      <c r="C644" t="s">
        <v>1186</v>
      </c>
      <c r="D644" t="s">
        <v>1356</v>
      </c>
      <c r="E644" t="s">
        <v>13</v>
      </c>
      <c r="F644" t="s">
        <v>14</v>
      </c>
      <c r="G644">
        <v>270</v>
      </c>
      <c r="H644">
        <v>2</v>
      </c>
      <c r="I644" s="16">
        <f t="shared" si="110"/>
        <v>540</v>
      </c>
      <c r="J644">
        <v>2</v>
      </c>
      <c r="K644">
        <f t="shared" si="111"/>
        <v>540</v>
      </c>
      <c r="L644">
        <f t="shared" si="105"/>
        <v>0</v>
      </c>
      <c r="M644">
        <f t="shared" si="112"/>
        <v>0</v>
      </c>
      <c r="N644">
        <f t="shared" si="113"/>
        <v>0</v>
      </c>
      <c r="O644">
        <f t="shared" si="114"/>
        <v>0</v>
      </c>
    </row>
    <row r="645" spans="1:18" hidden="1" x14ac:dyDescent="0.3">
      <c r="A645">
        <v>8117</v>
      </c>
      <c r="B645" t="s">
        <v>1357</v>
      </c>
      <c r="C645" t="s">
        <v>1186</v>
      </c>
      <c r="D645" t="s">
        <v>1358</v>
      </c>
      <c r="E645" t="s">
        <v>13</v>
      </c>
      <c r="F645" t="s">
        <v>123</v>
      </c>
      <c r="G645">
        <v>120</v>
      </c>
      <c r="H645">
        <v>2</v>
      </c>
      <c r="I645" s="16">
        <f t="shared" si="110"/>
        <v>240</v>
      </c>
      <c r="J645">
        <v>2</v>
      </c>
      <c r="K645">
        <f t="shared" si="111"/>
        <v>240</v>
      </c>
      <c r="L645">
        <f t="shared" si="105"/>
        <v>0</v>
      </c>
      <c r="M645">
        <f t="shared" si="112"/>
        <v>0</v>
      </c>
      <c r="N645">
        <f t="shared" si="113"/>
        <v>0</v>
      </c>
      <c r="O645">
        <f t="shared" si="114"/>
        <v>0</v>
      </c>
    </row>
    <row r="646" spans="1:18" hidden="1" x14ac:dyDescent="0.3">
      <c r="A646">
        <v>7006</v>
      </c>
      <c r="B646" t="s">
        <v>1359</v>
      </c>
      <c r="C646" t="s">
        <v>1186</v>
      </c>
      <c r="D646" t="s">
        <v>1360</v>
      </c>
      <c r="E646" t="s">
        <v>13</v>
      </c>
      <c r="F646" t="s">
        <v>39</v>
      </c>
      <c r="G646">
        <v>110</v>
      </c>
      <c r="H646">
        <v>2</v>
      </c>
      <c r="I646" s="16">
        <f t="shared" si="110"/>
        <v>220</v>
      </c>
      <c r="J646">
        <v>2</v>
      </c>
      <c r="K646">
        <f t="shared" si="111"/>
        <v>220</v>
      </c>
      <c r="L646">
        <f t="shared" si="105"/>
        <v>0</v>
      </c>
      <c r="M646">
        <f t="shared" si="112"/>
        <v>0</v>
      </c>
      <c r="N646">
        <f t="shared" si="113"/>
        <v>0</v>
      </c>
      <c r="O646">
        <f t="shared" si="114"/>
        <v>0</v>
      </c>
    </row>
    <row r="647" spans="1:18" hidden="1" x14ac:dyDescent="0.3">
      <c r="A647">
        <v>9634</v>
      </c>
      <c r="B647" t="s">
        <v>1361</v>
      </c>
      <c r="C647" t="s">
        <v>1186</v>
      </c>
      <c r="D647" t="s">
        <v>1362</v>
      </c>
      <c r="E647" t="s">
        <v>13</v>
      </c>
      <c r="F647" t="s">
        <v>123</v>
      </c>
      <c r="G647">
        <v>110</v>
      </c>
      <c r="H647">
        <v>2</v>
      </c>
      <c r="I647" s="16">
        <f t="shared" si="110"/>
        <v>220</v>
      </c>
      <c r="J647">
        <v>2</v>
      </c>
      <c r="K647">
        <f t="shared" si="111"/>
        <v>220</v>
      </c>
      <c r="L647">
        <f t="shared" si="105"/>
        <v>0</v>
      </c>
      <c r="M647">
        <f t="shared" si="112"/>
        <v>0</v>
      </c>
      <c r="N647">
        <f t="shared" si="113"/>
        <v>0</v>
      </c>
      <c r="O647">
        <f t="shared" si="114"/>
        <v>0</v>
      </c>
    </row>
    <row r="648" spans="1:18" hidden="1" x14ac:dyDescent="0.3">
      <c r="A648">
        <v>6619</v>
      </c>
      <c r="B648" t="s">
        <v>1363</v>
      </c>
      <c r="C648" t="s">
        <v>1186</v>
      </c>
      <c r="D648" t="s">
        <v>1364</v>
      </c>
      <c r="E648" t="s">
        <v>13</v>
      </c>
      <c r="F648" t="s">
        <v>116</v>
      </c>
      <c r="G648">
        <v>100</v>
      </c>
      <c r="H648">
        <v>2</v>
      </c>
      <c r="I648" s="16">
        <f t="shared" si="110"/>
        <v>200</v>
      </c>
      <c r="J648">
        <v>2</v>
      </c>
      <c r="K648">
        <f t="shared" si="111"/>
        <v>200</v>
      </c>
      <c r="L648">
        <f t="shared" si="105"/>
        <v>0</v>
      </c>
      <c r="M648">
        <f t="shared" si="112"/>
        <v>0</v>
      </c>
      <c r="N648">
        <f t="shared" si="113"/>
        <v>0</v>
      </c>
      <c r="O648">
        <f t="shared" si="114"/>
        <v>0</v>
      </c>
    </row>
    <row r="649" spans="1:18" ht="18.3" x14ac:dyDescent="0.4">
      <c r="A649">
        <v>7009</v>
      </c>
      <c r="B649" t="s">
        <v>1365</v>
      </c>
      <c r="C649" t="s">
        <v>1186</v>
      </c>
      <c r="D649" t="s">
        <v>1366</v>
      </c>
      <c r="E649" t="s">
        <v>13</v>
      </c>
      <c r="F649" t="s">
        <v>39</v>
      </c>
      <c r="G649">
        <v>120</v>
      </c>
      <c r="H649">
        <v>2</v>
      </c>
      <c r="I649" s="16">
        <f t="shared" si="110"/>
        <v>240</v>
      </c>
      <c r="J649">
        <v>1</v>
      </c>
      <c r="K649">
        <f t="shared" si="111"/>
        <v>120</v>
      </c>
      <c r="L649">
        <f t="shared" si="105"/>
        <v>1</v>
      </c>
      <c r="M649">
        <f t="shared" si="112"/>
        <v>120</v>
      </c>
      <c r="N649">
        <f t="shared" si="113"/>
        <v>30</v>
      </c>
      <c r="O649">
        <f t="shared" si="114"/>
        <v>90</v>
      </c>
      <c r="R649" s="21" t="str">
        <f t="shared" ref="R649:R650" si="115">_xlfn.TEXTJOIN("  by ",TRUE,B648,C648)</f>
        <v>Marupadi Thaa!  by Pattukottai Prabakar</v>
      </c>
    </row>
    <row r="650" spans="1:18" ht="18.3" x14ac:dyDescent="0.4">
      <c r="A650">
        <v>4659</v>
      </c>
      <c r="B650" t="s">
        <v>1367</v>
      </c>
      <c r="C650" t="s">
        <v>1186</v>
      </c>
      <c r="D650" t="s">
        <v>1368</v>
      </c>
      <c r="E650" t="s">
        <v>13</v>
      </c>
      <c r="F650" t="s">
        <v>44</v>
      </c>
      <c r="G650">
        <v>90</v>
      </c>
      <c r="H650">
        <v>2</v>
      </c>
      <c r="I650" s="16">
        <f t="shared" si="110"/>
        <v>180</v>
      </c>
      <c r="J650">
        <v>1</v>
      </c>
      <c r="K650">
        <f t="shared" si="111"/>
        <v>90</v>
      </c>
      <c r="L650">
        <f t="shared" si="105"/>
        <v>1</v>
      </c>
      <c r="M650">
        <f t="shared" si="112"/>
        <v>90</v>
      </c>
      <c r="N650">
        <f t="shared" si="113"/>
        <v>22.5</v>
      </c>
      <c r="O650">
        <f t="shared" si="114"/>
        <v>67.5</v>
      </c>
      <c r="R650" s="21" t="str">
        <f t="shared" si="115"/>
        <v>Mattravai Un Madiyil  by Pattukottai Prabakar</v>
      </c>
    </row>
    <row r="651" spans="1:18" hidden="1" x14ac:dyDescent="0.3">
      <c r="A651">
        <v>7379</v>
      </c>
      <c r="B651" t="s">
        <v>1369</v>
      </c>
      <c r="C651" t="s">
        <v>1186</v>
      </c>
      <c r="D651" t="s">
        <v>1370</v>
      </c>
      <c r="E651" t="s">
        <v>13</v>
      </c>
      <c r="F651" t="s">
        <v>116</v>
      </c>
      <c r="G651">
        <v>90</v>
      </c>
      <c r="H651">
        <v>2</v>
      </c>
      <c r="I651" s="16">
        <f t="shared" si="110"/>
        <v>180</v>
      </c>
      <c r="J651">
        <v>2</v>
      </c>
      <c r="K651">
        <f t="shared" si="111"/>
        <v>180</v>
      </c>
      <c r="L651">
        <f t="shared" si="105"/>
        <v>0</v>
      </c>
      <c r="M651">
        <f t="shared" si="112"/>
        <v>0</v>
      </c>
      <c r="N651">
        <f t="shared" si="113"/>
        <v>0</v>
      </c>
      <c r="O651">
        <f t="shared" si="114"/>
        <v>0</v>
      </c>
    </row>
    <row r="652" spans="1:18" ht="18.3" x14ac:dyDescent="0.4">
      <c r="A652">
        <v>3560</v>
      </c>
      <c r="B652" t="s">
        <v>1371</v>
      </c>
      <c r="C652" t="s">
        <v>1186</v>
      </c>
      <c r="D652" t="s">
        <v>1372</v>
      </c>
      <c r="E652" t="s">
        <v>13</v>
      </c>
      <c r="F652" t="s">
        <v>116</v>
      </c>
      <c r="G652">
        <v>100</v>
      </c>
      <c r="H652">
        <v>2</v>
      </c>
      <c r="I652" s="16">
        <f t="shared" si="110"/>
        <v>200</v>
      </c>
      <c r="J652">
        <v>1</v>
      </c>
      <c r="K652">
        <f t="shared" si="111"/>
        <v>100</v>
      </c>
      <c r="L652">
        <f t="shared" si="105"/>
        <v>1</v>
      </c>
      <c r="M652">
        <f t="shared" si="112"/>
        <v>100</v>
      </c>
      <c r="N652">
        <f t="shared" si="113"/>
        <v>25</v>
      </c>
      <c r="O652">
        <f t="shared" si="114"/>
        <v>75</v>
      </c>
      <c r="R652" s="21" t="str">
        <f>_xlfn.TEXTJOIN("  by ",TRUE,B651,C651)</f>
        <v>Million Dollar Unmai  by Pattukottai Prabakar</v>
      </c>
    </row>
    <row r="653" spans="1:18" hidden="1" x14ac:dyDescent="0.3">
      <c r="A653">
        <v>6503</v>
      </c>
      <c r="B653" t="s">
        <v>1373</v>
      </c>
      <c r="C653" t="s">
        <v>1186</v>
      </c>
      <c r="D653" t="s">
        <v>1374</v>
      </c>
      <c r="E653" t="s">
        <v>13</v>
      </c>
      <c r="F653" t="s">
        <v>116</v>
      </c>
      <c r="G653">
        <v>90</v>
      </c>
      <c r="H653">
        <v>2</v>
      </c>
      <c r="I653" s="16">
        <f t="shared" si="110"/>
        <v>180</v>
      </c>
      <c r="J653">
        <v>2</v>
      </c>
      <c r="K653">
        <f t="shared" si="111"/>
        <v>180</v>
      </c>
      <c r="L653">
        <f t="shared" si="105"/>
        <v>0</v>
      </c>
      <c r="M653">
        <f t="shared" si="112"/>
        <v>0</v>
      </c>
      <c r="N653">
        <f t="shared" si="113"/>
        <v>0</v>
      </c>
      <c r="O653">
        <f t="shared" si="114"/>
        <v>0</v>
      </c>
    </row>
    <row r="654" spans="1:18" hidden="1" x14ac:dyDescent="0.3">
      <c r="A654">
        <v>8115</v>
      </c>
      <c r="B654" t="s">
        <v>1375</v>
      </c>
      <c r="C654" t="s">
        <v>1186</v>
      </c>
      <c r="D654" t="s">
        <v>1376</v>
      </c>
      <c r="E654" t="s">
        <v>13</v>
      </c>
      <c r="F654" t="s">
        <v>123</v>
      </c>
      <c r="G654">
        <v>90</v>
      </c>
      <c r="H654">
        <v>2</v>
      </c>
      <c r="I654" s="16">
        <f t="shared" si="110"/>
        <v>180</v>
      </c>
      <c r="J654">
        <v>2</v>
      </c>
      <c r="K654">
        <f t="shared" si="111"/>
        <v>180</v>
      </c>
      <c r="L654">
        <f t="shared" si="105"/>
        <v>0</v>
      </c>
      <c r="M654">
        <f t="shared" si="112"/>
        <v>0</v>
      </c>
      <c r="N654">
        <f t="shared" si="113"/>
        <v>0</v>
      </c>
      <c r="O654">
        <f t="shared" si="114"/>
        <v>0</v>
      </c>
    </row>
    <row r="655" spans="1:18" hidden="1" x14ac:dyDescent="0.3">
      <c r="A655">
        <v>4521</v>
      </c>
      <c r="B655" t="s">
        <v>1377</v>
      </c>
      <c r="C655" t="s">
        <v>1186</v>
      </c>
      <c r="D655" t="s">
        <v>1378</v>
      </c>
      <c r="E655" t="s">
        <v>13</v>
      </c>
      <c r="F655" t="s">
        <v>44</v>
      </c>
      <c r="G655">
        <v>110</v>
      </c>
      <c r="H655">
        <v>2</v>
      </c>
      <c r="I655" s="16">
        <f t="shared" si="110"/>
        <v>220</v>
      </c>
      <c r="J655">
        <v>2</v>
      </c>
      <c r="K655">
        <f t="shared" si="111"/>
        <v>220</v>
      </c>
      <c r="L655">
        <f t="shared" si="105"/>
        <v>0</v>
      </c>
      <c r="M655">
        <f t="shared" si="112"/>
        <v>0</v>
      </c>
      <c r="N655">
        <f t="shared" si="113"/>
        <v>0</v>
      </c>
      <c r="O655">
        <f t="shared" si="114"/>
        <v>0</v>
      </c>
    </row>
    <row r="656" spans="1:18" ht="18.3" x14ac:dyDescent="0.4">
      <c r="A656">
        <v>5489</v>
      </c>
      <c r="B656" t="s">
        <v>1379</v>
      </c>
      <c r="C656" t="s">
        <v>1186</v>
      </c>
      <c r="D656" t="s">
        <v>1380</v>
      </c>
      <c r="E656" t="s">
        <v>13</v>
      </c>
      <c r="F656" t="s">
        <v>116</v>
      </c>
      <c r="G656">
        <v>110</v>
      </c>
      <c r="H656">
        <v>2</v>
      </c>
      <c r="I656" s="16">
        <f t="shared" si="110"/>
        <v>220</v>
      </c>
      <c r="J656">
        <v>1</v>
      </c>
      <c r="K656">
        <f t="shared" si="111"/>
        <v>110</v>
      </c>
      <c r="L656">
        <f t="shared" si="105"/>
        <v>1</v>
      </c>
      <c r="M656">
        <f t="shared" si="112"/>
        <v>110</v>
      </c>
      <c r="N656">
        <f t="shared" si="113"/>
        <v>27.5</v>
      </c>
      <c r="O656">
        <f t="shared" si="114"/>
        <v>82.5</v>
      </c>
      <c r="R656" s="21" t="str">
        <f>_xlfn.TEXTJOIN("  by ",TRUE,B655,C655)</f>
        <v>Nalamillai... Nalama?  by Pattukottai Prabakar</v>
      </c>
    </row>
    <row r="657" spans="1:18" hidden="1" x14ac:dyDescent="0.3">
      <c r="A657">
        <v>3552</v>
      </c>
      <c r="B657" t="s">
        <v>1381</v>
      </c>
      <c r="C657" t="s">
        <v>1186</v>
      </c>
      <c r="D657" t="s">
        <v>1382</v>
      </c>
      <c r="E657" t="s">
        <v>13</v>
      </c>
      <c r="F657" t="s">
        <v>116</v>
      </c>
      <c r="G657">
        <v>100</v>
      </c>
      <c r="H657">
        <v>2</v>
      </c>
      <c r="I657" s="16">
        <f t="shared" si="110"/>
        <v>200</v>
      </c>
      <c r="J657">
        <v>2</v>
      </c>
      <c r="K657">
        <f t="shared" si="111"/>
        <v>200</v>
      </c>
      <c r="L657">
        <f t="shared" si="105"/>
        <v>0</v>
      </c>
      <c r="M657">
        <f t="shared" si="112"/>
        <v>0</v>
      </c>
      <c r="N657">
        <f t="shared" si="113"/>
        <v>0</v>
      </c>
      <c r="O657">
        <f t="shared" si="114"/>
        <v>0</v>
      </c>
    </row>
    <row r="658" spans="1:18" hidden="1" x14ac:dyDescent="0.3">
      <c r="A658">
        <v>8063</v>
      </c>
      <c r="B658" t="s">
        <v>1383</v>
      </c>
      <c r="C658" t="s">
        <v>1186</v>
      </c>
      <c r="D658" t="s">
        <v>1384</v>
      </c>
      <c r="E658" t="s">
        <v>13</v>
      </c>
      <c r="F658" t="s">
        <v>123</v>
      </c>
      <c r="G658">
        <v>80</v>
      </c>
      <c r="H658">
        <v>2</v>
      </c>
      <c r="I658" s="16">
        <f t="shared" si="110"/>
        <v>160</v>
      </c>
      <c r="J658">
        <v>2</v>
      </c>
      <c r="K658">
        <f t="shared" si="111"/>
        <v>160</v>
      </c>
      <c r="L658">
        <f t="shared" si="105"/>
        <v>0</v>
      </c>
      <c r="M658">
        <f t="shared" si="112"/>
        <v>0</v>
      </c>
      <c r="N658">
        <f t="shared" si="113"/>
        <v>0</v>
      </c>
      <c r="O658">
        <f t="shared" si="114"/>
        <v>0</v>
      </c>
    </row>
    <row r="659" spans="1:18" hidden="1" x14ac:dyDescent="0.3">
      <c r="A659">
        <v>5641</v>
      </c>
      <c r="B659" t="s">
        <v>1385</v>
      </c>
      <c r="C659" t="s">
        <v>1186</v>
      </c>
      <c r="D659" t="s">
        <v>1386</v>
      </c>
      <c r="E659" t="s">
        <v>13</v>
      </c>
      <c r="F659" t="s">
        <v>44</v>
      </c>
      <c r="G659">
        <v>140</v>
      </c>
      <c r="H659">
        <v>2</v>
      </c>
      <c r="I659" s="16">
        <f t="shared" si="110"/>
        <v>280</v>
      </c>
      <c r="J659">
        <v>2</v>
      </c>
      <c r="K659">
        <f t="shared" si="111"/>
        <v>280</v>
      </c>
      <c r="L659">
        <f t="shared" si="105"/>
        <v>0</v>
      </c>
      <c r="M659">
        <f t="shared" si="112"/>
        <v>0</v>
      </c>
      <c r="N659">
        <f t="shared" si="113"/>
        <v>0</v>
      </c>
      <c r="O659">
        <f t="shared" si="114"/>
        <v>0</v>
      </c>
    </row>
    <row r="660" spans="1:18" hidden="1" x14ac:dyDescent="0.3">
      <c r="A660">
        <v>5092</v>
      </c>
      <c r="B660" t="s">
        <v>1387</v>
      </c>
      <c r="C660" t="s">
        <v>1186</v>
      </c>
      <c r="D660" t="s">
        <v>1388</v>
      </c>
      <c r="E660" t="s">
        <v>13</v>
      </c>
      <c r="F660" t="s">
        <v>44</v>
      </c>
      <c r="G660">
        <v>90</v>
      </c>
      <c r="H660">
        <v>2</v>
      </c>
      <c r="I660" s="16">
        <f t="shared" si="110"/>
        <v>180</v>
      </c>
      <c r="J660">
        <v>2</v>
      </c>
      <c r="K660">
        <f t="shared" si="111"/>
        <v>180</v>
      </c>
      <c r="L660">
        <f t="shared" si="105"/>
        <v>0</v>
      </c>
      <c r="M660">
        <f t="shared" si="112"/>
        <v>0</v>
      </c>
      <c r="N660">
        <f t="shared" si="113"/>
        <v>0</v>
      </c>
      <c r="O660">
        <f t="shared" si="114"/>
        <v>0</v>
      </c>
    </row>
    <row r="661" spans="1:18" hidden="1" x14ac:dyDescent="0.3">
      <c r="A661">
        <v>5276</v>
      </c>
      <c r="B661" t="s">
        <v>1389</v>
      </c>
      <c r="C661" t="s">
        <v>1186</v>
      </c>
      <c r="D661" t="s">
        <v>1390</v>
      </c>
      <c r="E661" t="s">
        <v>13</v>
      </c>
      <c r="F661" t="s">
        <v>116</v>
      </c>
      <c r="G661">
        <v>210</v>
      </c>
      <c r="H661">
        <v>2</v>
      </c>
      <c r="I661" s="16">
        <f t="shared" si="110"/>
        <v>420</v>
      </c>
      <c r="J661">
        <v>2</v>
      </c>
      <c r="K661">
        <f t="shared" si="111"/>
        <v>420</v>
      </c>
      <c r="L661">
        <f t="shared" si="105"/>
        <v>0</v>
      </c>
      <c r="M661">
        <f t="shared" si="112"/>
        <v>0</v>
      </c>
      <c r="N661">
        <f t="shared" si="113"/>
        <v>0</v>
      </c>
      <c r="O661">
        <f t="shared" si="114"/>
        <v>0</v>
      </c>
    </row>
    <row r="662" spans="1:18" hidden="1" x14ac:dyDescent="0.3">
      <c r="A662">
        <v>8103</v>
      </c>
      <c r="B662" t="s">
        <v>1391</v>
      </c>
      <c r="C662" t="s">
        <v>1186</v>
      </c>
      <c r="D662" t="s">
        <v>1392</v>
      </c>
      <c r="E662" t="s">
        <v>13</v>
      </c>
      <c r="F662" t="s">
        <v>39</v>
      </c>
      <c r="G662">
        <v>140</v>
      </c>
      <c r="H662">
        <v>2</v>
      </c>
      <c r="I662" s="16">
        <f t="shared" si="110"/>
        <v>280</v>
      </c>
      <c r="J662">
        <v>2</v>
      </c>
      <c r="K662">
        <f t="shared" si="111"/>
        <v>280</v>
      </c>
      <c r="L662">
        <f t="shared" si="105"/>
        <v>0</v>
      </c>
      <c r="M662">
        <f t="shared" si="112"/>
        <v>0</v>
      </c>
      <c r="N662">
        <f t="shared" si="113"/>
        <v>0</v>
      </c>
      <c r="O662">
        <f t="shared" si="114"/>
        <v>0</v>
      </c>
    </row>
    <row r="663" spans="1:18" hidden="1" x14ac:dyDescent="0.3">
      <c r="A663">
        <v>5364</v>
      </c>
      <c r="B663" t="s">
        <v>1393</v>
      </c>
      <c r="C663" t="s">
        <v>1186</v>
      </c>
      <c r="D663" t="s">
        <v>1394</v>
      </c>
      <c r="E663" t="s">
        <v>13</v>
      </c>
      <c r="F663" t="s">
        <v>39</v>
      </c>
      <c r="G663">
        <v>220</v>
      </c>
      <c r="H663">
        <v>2</v>
      </c>
      <c r="I663" s="16">
        <f t="shared" si="110"/>
        <v>440</v>
      </c>
      <c r="J663">
        <v>2</v>
      </c>
      <c r="K663">
        <f t="shared" si="111"/>
        <v>440</v>
      </c>
      <c r="L663">
        <f t="shared" si="105"/>
        <v>0</v>
      </c>
      <c r="M663">
        <f t="shared" si="112"/>
        <v>0</v>
      </c>
      <c r="N663">
        <f t="shared" si="113"/>
        <v>0</v>
      </c>
      <c r="O663">
        <f t="shared" si="114"/>
        <v>0</v>
      </c>
    </row>
    <row r="664" spans="1:18" hidden="1" x14ac:dyDescent="0.3">
      <c r="A664">
        <v>6989</v>
      </c>
      <c r="B664" t="s">
        <v>1395</v>
      </c>
      <c r="C664" t="s">
        <v>1186</v>
      </c>
      <c r="D664" t="s">
        <v>1396</v>
      </c>
      <c r="E664" t="s">
        <v>13</v>
      </c>
      <c r="F664" t="s">
        <v>116</v>
      </c>
      <c r="G664">
        <v>170</v>
      </c>
      <c r="H664">
        <v>2</v>
      </c>
      <c r="I664" s="16">
        <f t="shared" si="110"/>
        <v>340</v>
      </c>
      <c r="J664">
        <v>2</v>
      </c>
      <c r="K664">
        <f t="shared" si="111"/>
        <v>340</v>
      </c>
      <c r="L664">
        <f t="shared" si="105"/>
        <v>0</v>
      </c>
      <c r="M664">
        <f t="shared" si="112"/>
        <v>0</v>
      </c>
      <c r="N664">
        <f t="shared" si="113"/>
        <v>0</v>
      </c>
      <c r="O664">
        <f t="shared" si="114"/>
        <v>0</v>
      </c>
    </row>
    <row r="665" spans="1:18" hidden="1" x14ac:dyDescent="0.3">
      <c r="A665">
        <v>15</v>
      </c>
      <c r="B665" t="s">
        <v>1397</v>
      </c>
      <c r="C665" t="s">
        <v>1186</v>
      </c>
      <c r="D665" t="s">
        <v>1398</v>
      </c>
      <c r="E665" t="s">
        <v>13</v>
      </c>
      <c r="F665" t="s">
        <v>116</v>
      </c>
      <c r="G665">
        <v>110</v>
      </c>
      <c r="H665">
        <v>2</v>
      </c>
      <c r="I665" s="16">
        <f t="shared" si="110"/>
        <v>220</v>
      </c>
      <c r="J665">
        <v>2</v>
      </c>
      <c r="K665">
        <f t="shared" si="111"/>
        <v>220</v>
      </c>
      <c r="L665">
        <f t="shared" si="105"/>
        <v>0</v>
      </c>
      <c r="M665">
        <f t="shared" si="112"/>
        <v>0</v>
      </c>
      <c r="N665">
        <f t="shared" si="113"/>
        <v>0</v>
      </c>
      <c r="O665">
        <f t="shared" si="114"/>
        <v>0</v>
      </c>
    </row>
    <row r="666" spans="1:18" hidden="1" x14ac:dyDescent="0.3">
      <c r="A666">
        <v>3971</v>
      </c>
      <c r="B666" t="s">
        <v>1399</v>
      </c>
      <c r="C666" t="s">
        <v>1186</v>
      </c>
      <c r="D666" t="s">
        <v>1400</v>
      </c>
      <c r="E666" t="s">
        <v>13</v>
      </c>
      <c r="F666" t="s">
        <v>116</v>
      </c>
      <c r="G666">
        <v>100</v>
      </c>
      <c r="H666">
        <v>2</v>
      </c>
      <c r="I666" s="16">
        <f t="shared" si="110"/>
        <v>200</v>
      </c>
      <c r="J666">
        <v>2</v>
      </c>
      <c r="K666">
        <f t="shared" si="111"/>
        <v>200</v>
      </c>
      <c r="L666">
        <f t="shared" si="105"/>
        <v>0</v>
      </c>
      <c r="M666">
        <f t="shared" si="112"/>
        <v>0</v>
      </c>
      <c r="N666">
        <f t="shared" si="113"/>
        <v>0</v>
      </c>
      <c r="O666">
        <f t="shared" si="114"/>
        <v>0</v>
      </c>
    </row>
    <row r="667" spans="1:18" hidden="1" x14ac:dyDescent="0.3">
      <c r="A667">
        <v>4571</v>
      </c>
      <c r="B667" t="s">
        <v>1401</v>
      </c>
      <c r="C667" t="s">
        <v>1186</v>
      </c>
      <c r="D667" t="s">
        <v>1402</v>
      </c>
      <c r="E667" t="s">
        <v>13</v>
      </c>
      <c r="F667" t="s">
        <v>44</v>
      </c>
      <c r="G667">
        <v>190</v>
      </c>
      <c r="H667">
        <v>4</v>
      </c>
      <c r="I667" s="16">
        <f t="shared" si="110"/>
        <v>760</v>
      </c>
      <c r="J667">
        <v>4</v>
      </c>
      <c r="K667">
        <f t="shared" si="111"/>
        <v>760</v>
      </c>
      <c r="L667">
        <f t="shared" si="105"/>
        <v>0</v>
      </c>
      <c r="M667">
        <f t="shared" si="112"/>
        <v>0</v>
      </c>
      <c r="N667">
        <f t="shared" si="113"/>
        <v>0</v>
      </c>
      <c r="O667">
        <f t="shared" si="114"/>
        <v>0</v>
      </c>
    </row>
    <row r="668" spans="1:18" ht="18.3" x14ac:dyDescent="0.4">
      <c r="A668">
        <v>4499</v>
      </c>
      <c r="B668" t="s">
        <v>1403</v>
      </c>
      <c r="C668" t="s">
        <v>1186</v>
      </c>
      <c r="D668" t="s">
        <v>1404</v>
      </c>
      <c r="E668" t="s">
        <v>13</v>
      </c>
      <c r="F668" t="s">
        <v>44</v>
      </c>
      <c r="G668">
        <v>100</v>
      </c>
      <c r="H668">
        <v>2</v>
      </c>
      <c r="I668" s="16">
        <f t="shared" si="110"/>
        <v>200</v>
      </c>
      <c r="J668">
        <v>1</v>
      </c>
      <c r="K668">
        <f t="shared" si="111"/>
        <v>100</v>
      </c>
      <c r="L668">
        <f t="shared" si="105"/>
        <v>1</v>
      </c>
      <c r="M668">
        <f t="shared" si="112"/>
        <v>100</v>
      </c>
      <c r="N668">
        <f t="shared" si="113"/>
        <v>25</v>
      </c>
      <c r="O668">
        <f t="shared" si="114"/>
        <v>75</v>
      </c>
      <c r="R668" s="21" t="str">
        <f>_xlfn.TEXTJOIN("  by ",TRUE,B667,C667)</f>
        <v>Oru Coffee Kudikalama?  by Pattukottai Prabakar</v>
      </c>
    </row>
    <row r="669" spans="1:18" hidden="1" x14ac:dyDescent="0.3">
      <c r="A669">
        <v>7002</v>
      </c>
      <c r="B669" t="s">
        <v>1405</v>
      </c>
      <c r="C669" t="s">
        <v>1186</v>
      </c>
      <c r="D669" t="s">
        <v>1406</v>
      </c>
      <c r="E669" t="s">
        <v>13</v>
      </c>
      <c r="F669" t="s">
        <v>39</v>
      </c>
      <c r="G669">
        <v>240</v>
      </c>
      <c r="H669">
        <v>2</v>
      </c>
      <c r="I669" s="16">
        <f t="shared" si="110"/>
        <v>480</v>
      </c>
      <c r="J669">
        <v>2</v>
      </c>
      <c r="K669">
        <f t="shared" si="111"/>
        <v>480</v>
      </c>
      <c r="L669">
        <f t="shared" si="105"/>
        <v>0</v>
      </c>
      <c r="M669">
        <f t="shared" si="112"/>
        <v>0</v>
      </c>
      <c r="N669">
        <f t="shared" si="113"/>
        <v>0</v>
      </c>
      <c r="O669">
        <f t="shared" si="114"/>
        <v>0</v>
      </c>
    </row>
    <row r="670" spans="1:18" ht="18.3" x14ac:dyDescent="0.4">
      <c r="A670">
        <v>6999</v>
      </c>
      <c r="B670" t="s">
        <v>1407</v>
      </c>
      <c r="C670" t="s">
        <v>1186</v>
      </c>
      <c r="D670" t="s">
        <v>1408</v>
      </c>
      <c r="E670" t="s">
        <v>13</v>
      </c>
      <c r="F670" t="s">
        <v>39</v>
      </c>
      <c r="G670">
        <v>50</v>
      </c>
      <c r="H670">
        <v>2</v>
      </c>
      <c r="I670" s="16">
        <f t="shared" si="110"/>
        <v>100</v>
      </c>
      <c r="J670">
        <v>0</v>
      </c>
      <c r="K670">
        <f t="shared" si="111"/>
        <v>0</v>
      </c>
      <c r="L670">
        <f t="shared" si="105"/>
        <v>2</v>
      </c>
      <c r="M670">
        <f t="shared" si="112"/>
        <v>100</v>
      </c>
      <c r="N670">
        <f t="shared" si="113"/>
        <v>25</v>
      </c>
      <c r="O670">
        <f t="shared" si="114"/>
        <v>75</v>
      </c>
      <c r="R670" s="21" t="str">
        <f t="shared" ref="R670:R671" si="116">_xlfn.TEXTJOIN("  by ",TRUE,B669,C669)</f>
        <v>Oru Kappal Muthangal  by Pattukottai Prabakar</v>
      </c>
    </row>
    <row r="671" spans="1:18" ht="18.3" x14ac:dyDescent="0.4">
      <c r="A671">
        <v>7005</v>
      </c>
      <c r="B671" t="s">
        <v>1409</v>
      </c>
      <c r="C671" t="s">
        <v>1186</v>
      </c>
      <c r="D671" t="s">
        <v>1410</v>
      </c>
      <c r="E671" t="s">
        <v>13</v>
      </c>
      <c r="F671" t="s">
        <v>39</v>
      </c>
      <c r="G671">
        <v>230</v>
      </c>
      <c r="H671">
        <v>2</v>
      </c>
      <c r="I671" s="16">
        <f t="shared" si="110"/>
        <v>460</v>
      </c>
      <c r="J671">
        <v>1</v>
      </c>
      <c r="K671">
        <f t="shared" si="111"/>
        <v>230</v>
      </c>
      <c r="L671">
        <f t="shared" si="105"/>
        <v>1</v>
      </c>
      <c r="M671">
        <f t="shared" si="112"/>
        <v>230</v>
      </c>
      <c r="N671">
        <f t="shared" si="113"/>
        <v>57.5</v>
      </c>
      <c r="O671">
        <f t="shared" si="114"/>
        <v>172.5</v>
      </c>
      <c r="R671" s="21" t="str">
        <f t="shared" si="116"/>
        <v>Oru Koodai Punnagai  by Pattukottai Prabakar</v>
      </c>
    </row>
    <row r="672" spans="1:18" hidden="1" x14ac:dyDescent="0.3">
      <c r="A672">
        <v>5365</v>
      </c>
      <c r="B672" t="s">
        <v>1411</v>
      </c>
      <c r="C672" t="s">
        <v>1186</v>
      </c>
      <c r="D672" t="s">
        <v>1412</v>
      </c>
      <c r="E672" t="s">
        <v>13</v>
      </c>
      <c r="F672" t="s">
        <v>116</v>
      </c>
      <c r="G672">
        <v>260</v>
      </c>
      <c r="H672">
        <v>2</v>
      </c>
      <c r="I672" s="16">
        <f t="shared" si="110"/>
        <v>520</v>
      </c>
      <c r="J672">
        <v>2</v>
      </c>
      <c r="K672">
        <f t="shared" si="111"/>
        <v>520</v>
      </c>
      <c r="L672">
        <f t="shared" si="105"/>
        <v>0</v>
      </c>
      <c r="M672">
        <f t="shared" si="112"/>
        <v>0</v>
      </c>
      <c r="N672">
        <f t="shared" si="113"/>
        <v>0</v>
      </c>
      <c r="O672">
        <f t="shared" si="114"/>
        <v>0</v>
      </c>
    </row>
    <row r="673" spans="1:18" ht="18.3" x14ac:dyDescent="0.4">
      <c r="A673">
        <v>5308</v>
      </c>
      <c r="B673" t="s">
        <v>1413</v>
      </c>
      <c r="C673" t="s">
        <v>1186</v>
      </c>
      <c r="D673" t="s">
        <v>1414</v>
      </c>
      <c r="E673" t="s">
        <v>13</v>
      </c>
      <c r="F673" t="s">
        <v>116</v>
      </c>
      <c r="G673">
        <v>210</v>
      </c>
      <c r="H673">
        <v>2</v>
      </c>
      <c r="I673" s="16">
        <f t="shared" si="110"/>
        <v>420</v>
      </c>
      <c r="J673">
        <v>1</v>
      </c>
      <c r="K673">
        <f t="shared" si="111"/>
        <v>210</v>
      </c>
      <c r="L673">
        <f t="shared" si="105"/>
        <v>1</v>
      </c>
      <c r="M673">
        <f t="shared" si="112"/>
        <v>210</v>
      </c>
      <c r="N673">
        <f t="shared" si="113"/>
        <v>52.5</v>
      </c>
      <c r="O673">
        <f t="shared" si="114"/>
        <v>157.5</v>
      </c>
      <c r="R673" s="21" t="str">
        <f t="shared" ref="R673:R674" si="117">_xlfn.TEXTJOIN("  by ",TRUE,B672,C672)</f>
        <v>Oru Nijam Oru Nizhal  by Pattukottai Prabakar</v>
      </c>
    </row>
    <row r="674" spans="1:18" ht="18.3" x14ac:dyDescent="0.4">
      <c r="A674">
        <v>5104</v>
      </c>
      <c r="B674" t="s">
        <v>1415</v>
      </c>
      <c r="C674" t="s">
        <v>1186</v>
      </c>
      <c r="D674" t="s">
        <v>1416</v>
      </c>
      <c r="E674" t="s">
        <v>13</v>
      </c>
      <c r="F674" t="s">
        <v>116</v>
      </c>
      <c r="G674">
        <v>140</v>
      </c>
      <c r="H674">
        <v>2</v>
      </c>
      <c r="I674" s="16">
        <f t="shared" si="110"/>
        <v>280</v>
      </c>
      <c r="J674">
        <v>1</v>
      </c>
      <c r="K674">
        <f t="shared" si="111"/>
        <v>140</v>
      </c>
      <c r="L674">
        <f t="shared" si="105"/>
        <v>1</v>
      </c>
      <c r="M674">
        <f t="shared" si="112"/>
        <v>140</v>
      </c>
      <c r="N674">
        <f t="shared" si="113"/>
        <v>35</v>
      </c>
      <c r="O674">
        <f t="shared" si="114"/>
        <v>105</v>
      </c>
      <c r="R674" s="21" t="str">
        <f t="shared" si="117"/>
        <v>Oru Poi Pothum  by Pattukottai Prabakar</v>
      </c>
    </row>
    <row r="675" spans="1:18" hidden="1" x14ac:dyDescent="0.3">
      <c r="A675">
        <v>5569</v>
      </c>
      <c r="B675" t="s">
        <v>1417</v>
      </c>
      <c r="C675" t="s">
        <v>1186</v>
      </c>
      <c r="D675" t="s">
        <v>1418</v>
      </c>
      <c r="E675" t="s">
        <v>13</v>
      </c>
      <c r="F675" t="s">
        <v>116</v>
      </c>
      <c r="G675">
        <v>160</v>
      </c>
      <c r="H675">
        <v>2</v>
      </c>
      <c r="I675" s="16">
        <f t="shared" si="110"/>
        <v>320</v>
      </c>
      <c r="J675">
        <v>2</v>
      </c>
      <c r="K675">
        <f t="shared" si="111"/>
        <v>320</v>
      </c>
      <c r="L675">
        <f t="shared" si="105"/>
        <v>0</v>
      </c>
      <c r="M675">
        <f t="shared" si="112"/>
        <v>0</v>
      </c>
      <c r="N675">
        <f t="shared" si="113"/>
        <v>0</v>
      </c>
      <c r="O675">
        <f t="shared" si="114"/>
        <v>0</v>
      </c>
    </row>
    <row r="676" spans="1:18" hidden="1" x14ac:dyDescent="0.3">
      <c r="A676">
        <v>11725</v>
      </c>
      <c r="B676" t="s">
        <v>1419</v>
      </c>
      <c r="C676" t="s">
        <v>1186</v>
      </c>
      <c r="D676" t="s">
        <v>1420</v>
      </c>
      <c r="E676" t="s">
        <v>13</v>
      </c>
      <c r="F676" t="s">
        <v>39</v>
      </c>
      <c r="G676">
        <v>180</v>
      </c>
      <c r="H676">
        <v>2</v>
      </c>
      <c r="I676" s="16">
        <f t="shared" si="110"/>
        <v>360</v>
      </c>
      <c r="J676">
        <v>2</v>
      </c>
      <c r="K676">
        <f t="shared" si="111"/>
        <v>360</v>
      </c>
      <c r="L676">
        <f t="shared" ref="L676:L739" si="118">H676-J676</f>
        <v>0</v>
      </c>
      <c r="M676">
        <f t="shared" si="112"/>
        <v>0</v>
      </c>
      <c r="N676">
        <f t="shared" si="113"/>
        <v>0</v>
      </c>
      <c r="O676">
        <f t="shared" si="114"/>
        <v>0</v>
      </c>
    </row>
    <row r="677" spans="1:18" hidden="1" x14ac:dyDescent="0.3">
      <c r="A677">
        <v>4518</v>
      </c>
      <c r="B677" t="s">
        <v>1421</v>
      </c>
      <c r="C677" t="s">
        <v>1186</v>
      </c>
      <c r="D677" t="s">
        <v>1422</v>
      </c>
      <c r="E677" t="s">
        <v>13</v>
      </c>
      <c r="F677" t="s">
        <v>44</v>
      </c>
      <c r="G677">
        <v>100</v>
      </c>
      <c r="H677">
        <v>2</v>
      </c>
      <c r="I677" s="16">
        <f t="shared" si="110"/>
        <v>200</v>
      </c>
      <c r="J677">
        <v>2</v>
      </c>
      <c r="K677">
        <f t="shared" si="111"/>
        <v>200</v>
      </c>
      <c r="L677">
        <f t="shared" si="118"/>
        <v>0</v>
      </c>
      <c r="M677">
        <f t="shared" si="112"/>
        <v>0</v>
      </c>
      <c r="N677">
        <f t="shared" si="113"/>
        <v>0</v>
      </c>
      <c r="O677">
        <f t="shared" si="114"/>
        <v>0</v>
      </c>
    </row>
    <row r="678" spans="1:18" hidden="1" x14ac:dyDescent="0.3">
      <c r="A678">
        <v>8089</v>
      </c>
      <c r="B678" t="s">
        <v>1423</v>
      </c>
      <c r="C678" t="s">
        <v>1186</v>
      </c>
      <c r="D678" t="s">
        <v>1424</v>
      </c>
      <c r="E678" t="s">
        <v>13</v>
      </c>
      <c r="F678" t="s">
        <v>123</v>
      </c>
      <c r="G678">
        <v>100</v>
      </c>
      <c r="H678">
        <v>2</v>
      </c>
      <c r="I678" s="16">
        <f t="shared" si="110"/>
        <v>200</v>
      </c>
      <c r="J678">
        <v>2</v>
      </c>
      <c r="K678">
        <f t="shared" si="111"/>
        <v>200</v>
      </c>
      <c r="L678">
        <f t="shared" si="118"/>
        <v>0</v>
      </c>
      <c r="M678">
        <f t="shared" si="112"/>
        <v>0</v>
      </c>
      <c r="N678">
        <f t="shared" si="113"/>
        <v>0</v>
      </c>
      <c r="O678">
        <f t="shared" si="114"/>
        <v>0</v>
      </c>
    </row>
    <row r="679" spans="1:18" hidden="1" x14ac:dyDescent="0.3">
      <c r="A679">
        <v>6672</v>
      </c>
      <c r="B679" t="s">
        <v>1425</v>
      </c>
      <c r="C679" t="s">
        <v>1186</v>
      </c>
      <c r="D679" t="s">
        <v>1426</v>
      </c>
      <c r="E679" t="s">
        <v>13</v>
      </c>
      <c r="F679" t="s">
        <v>116</v>
      </c>
      <c r="G679">
        <v>90</v>
      </c>
      <c r="H679">
        <v>2</v>
      </c>
      <c r="I679" s="16">
        <f t="shared" si="110"/>
        <v>180</v>
      </c>
      <c r="J679">
        <v>2</v>
      </c>
      <c r="K679">
        <f t="shared" si="111"/>
        <v>180</v>
      </c>
      <c r="L679">
        <f t="shared" si="118"/>
        <v>0</v>
      </c>
      <c r="M679">
        <f t="shared" si="112"/>
        <v>0</v>
      </c>
      <c r="N679">
        <f t="shared" si="113"/>
        <v>0</v>
      </c>
      <c r="O679">
        <f t="shared" si="114"/>
        <v>0</v>
      </c>
    </row>
    <row r="680" spans="1:18" hidden="1" x14ac:dyDescent="0.3">
      <c r="A680">
        <v>8087</v>
      </c>
      <c r="B680" t="s">
        <v>1427</v>
      </c>
      <c r="C680" t="s">
        <v>1186</v>
      </c>
      <c r="D680" t="s">
        <v>1428</v>
      </c>
      <c r="E680" t="s">
        <v>13</v>
      </c>
      <c r="F680" t="s">
        <v>123</v>
      </c>
      <c r="G680">
        <v>100</v>
      </c>
      <c r="H680">
        <v>2</v>
      </c>
      <c r="I680" s="16">
        <f t="shared" si="110"/>
        <v>200</v>
      </c>
      <c r="J680">
        <v>2</v>
      </c>
      <c r="K680">
        <f t="shared" si="111"/>
        <v>200</v>
      </c>
      <c r="L680">
        <f t="shared" si="118"/>
        <v>0</v>
      </c>
      <c r="M680">
        <f t="shared" si="112"/>
        <v>0</v>
      </c>
      <c r="N680">
        <f t="shared" si="113"/>
        <v>0</v>
      </c>
      <c r="O680">
        <f t="shared" si="114"/>
        <v>0</v>
      </c>
    </row>
    <row r="681" spans="1:18" hidden="1" x14ac:dyDescent="0.3">
      <c r="A681">
        <v>6674</v>
      </c>
      <c r="B681" t="s">
        <v>1429</v>
      </c>
      <c r="C681" t="s">
        <v>1186</v>
      </c>
      <c r="D681" t="s">
        <v>1430</v>
      </c>
      <c r="E681" t="s">
        <v>13</v>
      </c>
      <c r="F681" t="s">
        <v>44</v>
      </c>
      <c r="G681">
        <v>110</v>
      </c>
      <c r="H681">
        <v>2</v>
      </c>
      <c r="I681" s="16">
        <f t="shared" si="110"/>
        <v>220</v>
      </c>
      <c r="J681">
        <v>2</v>
      </c>
      <c r="K681">
        <f t="shared" si="111"/>
        <v>220</v>
      </c>
      <c r="L681">
        <f t="shared" si="118"/>
        <v>0</v>
      </c>
      <c r="M681">
        <f t="shared" si="112"/>
        <v>0</v>
      </c>
      <c r="N681">
        <f t="shared" si="113"/>
        <v>0</v>
      </c>
      <c r="O681">
        <f t="shared" si="114"/>
        <v>0</v>
      </c>
    </row>
    <row r="682" spans="1:18" hidden="1" x14ac:dyDescent="0.3">
      <c r="A682">
        <v>6502</v>
      </c>
      <c r="B682" t="s">
        <v>1431</v>
      </c>
      <c r="C682" t="s">
        <v>1186</v>
      </c>
      <c r="D682" t="s">
        <v>1432</v>
      </c>
      <c r="E682" t="s">
        <v>13</v>
      </c>
      <c r="F682" t="s">
        <v>116</v>
      </c>
      <c r="G682">
        <v>90</v>
      </c>
      <c r="H682">
        <v>2</v>
      </c>
      <c r="I682" s="16">
        <f t="shared" si="110"/>
        <v>180</v>
      </c>
      <c r="J682">
        <v>2</v>
      </c>
      <c r="K682">
        <f t="shared" si="111"/>
        <v>180</v>
      </c>
      <c r="L682">
        <f t="shared" si="118"/>
        <v>0</v>
      </c>
      <c r="M682">
        <f t="shared" si="112"/>
        <v>0</v>
      </c>
      <c r="N682">
        <f t="shared" si="113"/>
        <v>0</v>
      </c>
      <c r="O682">
        <f t="shared" si="114"/>
        <v>0</v>
      </c>
    </row>
    <row r="683" spans="1:18" hidden="1" x14ac:dyDescent="0.3">
      <c r="A683">
        <v>5547</v>
      </c>
      <c r="B683" t="s">
        <v>1433</v>
      </c>
      <c r="C683" t="s">
        <v>1186</v>
      </c>
      <c r="D683" t="s">
        <v>1434</v>
      </c>
      <c r="E683" t="s">
        <v>13</v>
      </c>
      <c r="F683" t="s">
        <v>116</v>
      </c>
      <c r="G683">
        <v>210</v>
      </c>
      <c r="H683">
        <v>2</v>
      </c>
      <c r="I683" s="16">
        <f t="shared" si="110"/>
        <v>420</v>
      </c>
      <c r="J683">
        <v>2</v>
      </c>
      <c r="K683">
        <f t="shared" si="111"/>
        <v>420</v>
      </c>
      <c r="L683">
        <f t="shared" si="118"/>
        <v>0</v>
      </c>
      <c r="M683">
        <f t="shared" si="112"/>
        <v>0</v>
      </c>
      <c r="N683">
        <f t="shared" si="113"/>
        <v>0</v>
      </c>
      <c r="O683">
        <f t="shared" si="114"/>
        <v>0</v>
      </c>
    </row>
    <row r="684" spans="1:18" hidden="1" x14ac:dyDescent="0.3">
      <c r="A684">
        <v>13</v>
      </c>
      <c r="B684" t="s">
        <v>1435</v>
      </c>
      <c r="C684" t="s">
        <v>1186</v>
      </c>
      <c r="D684" t="s">
        <v>1436</v>
      </c>
      <c r="E684" t="s">
        <v>13</v>
      </c>
      <c r="F684" t="s">
        <v>116</v>
      </c>
      <c r="G684">
        <v>80</v>
      </c>
      <c r="H684">
        <v>2</v>
      </c>
      <c r="I684" s="16">
        <f t="shared" si="110"/>
        <v>160</v>
      </c>
      <c r="J684">
        <v>2</v>
      </c>
      <c r="K684">
        <f t="shared" si="111"/>
        <v>160</v>
      </c>
      <c r="L684">
        <f t="shared" si="118"/>
        <v>0</v>
      </c>
      <c r="M684">
        <f t="shared" si="112"/>
        <v>0</v>
      </c>
      <c r="N684">
        <f t="shared" si="113"/>
        <v>0</v>
      </c>
      <c r="O684">
        <f t="shared" si="114"/>
        <v>0</v>
      </c>
    </row>
    <row r="685" spans="1:18" hidden="1" x14ac:dyDescent="0.3">
      <c r="A685">
        <v>14</v>
      </c>
      <c r="B685" t="s">
        <v>1437</v>
      </c>
      <c r="C685" t="s">
        <v>1186</v>
      </c>
      <c r="D685" t="s">
        <v>1438</v>
      </c>
      <c r="E685" t="s">
        <v>13</v>
      </c>
      <c r="F685" t="s">
        <v>116</v>
      </c>
      <c r="G685">
        <v>80</v>
      </c>
      <c r="H685">
        <v>2</v>
      </c>
      <c r="I685" s="16">
        <f t="shared" si="110"/>
        <v>160</v>
      </c>
      <c r="J685">
        <v>2</v>
      </c>
      <c r="K685">
        <f t="shared" si="111"/>
        <v>160</v>
      </c>
      <c r="L685">
        <f t="shared" si="118"/>
        <v>0</v>
      </c>
      <c r="M685">
        <f t="shared" si="112"/>
        <v>0</v>
      </c>
      <c r="N685">
        <f t="shared" si="113"/>
        <v>0</v>
      </c>
      <c r="O685">
        <f t="shared" si="114"/>
        <v>0</v>
      </c>
    </row>
    <row r="686" spans="1:18" hidden="1" x14ac:dyDescent="0.3">
      <c r="A686">
        <v>6504</v>
      </c>
      <c r="B686" t="s">
        <v>1439</v>
      </c>
      <c r="C686" t="s">
        <v>1186</v>
      </c>
      <c r="D686" t="s">
        <v>1440</v>
      </c>
      <c r="E686" t="s">
        <v>13</v>
      </c>
      <c r="F686" t="s">
        <v>39</v>
      </c>
      <c r="G686">
        <v>100</v>
      </c>
      <c r="H686">
        <v>2</v>
      </c>
      <c r="I686" s="16">
        <f t="shared" si="110"/>
        <v>200</v>
      </c>
      <c r="J686">
        <v>2</v>
      </c>
      <c r="K686">
        <f t="shared" si="111"/>
        <v>200</v>
      </c>
      <c r="L686">
        <f t="shared" si="118"/>
        <v>0</v>
      </c>
      <c r="M686">
        <f t="shared" si="112"/>
        <v>0</v>
      </c>
      <c r="N686">
        <f t="shared" si="113"/>
        <v>0</v>
      </c>
      <c r="O686">
        <f t="shared" si="114"/>
        <v>0</v>
      </c>
    </row>
    <row r="687" spans="1:18" hidden="1" x14ac:dyDescent="0.3">
      <c r="A687">
        <v>3739</v>
      </c>
      <c r="B687" t="s">
        <v>1441</v>
      </c>
      <c r="C687" t="s">
        <v>1186</v>
      </c>
      <c r="D687" t="s">
        <v>1442</v>
      </c>
      <c r="E687" t="s">
        <v>13</v>
      </c>
      <c r="F687" t="s">
        <v>116</v>
      </c>
      <c r="G687">
        <v>90</v>
      </c>
      <c r="H687">
        <v>2</v>
      </c>
      <c r="I687" s="16">
        <f t="shared" si="110"/>
        <v>180</v>
      </c>
      <c r="J687">
        <v>2</v>
      </c>
      <c r="K687">
        <f t="shared" si="111"/>
        <v>180</v>
      </c>
      <c r="L687">
        <f t="shared" si="118"/>
        <v>0</v>
      </c>
      <c r="M687">
        <f t="shared" si="112"/>
        <v>0</v>
      </c>
      <c r="N687">
        <f t="shared" si="113"/>
        <v>0</v>
      </c>
      <c r="O687">
        <f t="shared" si="114"/>
        <v>0</v>
      </c>
    </row>
    <row r="688" spans="1:18" hidden="1" x14ac:dyDescent="0.3">
      <c r="A688">
        <v>4519</v>
      </c>
      <c r="B688" t="s">
        <v>1443</v>
      </c>
      <c r="C688" t="s">
        <v>1186</v>
      </c>
      <c r="D688" t="s">
        <v>1444</v>
      </c>
      <c r="E688" t="s">
        <v>13</v>
      </c>
      <c r="F688" t="s">
        <v>44</v>
      </c>
      <c r="G688">
        <v>100</v>
      </c>
      <c r="H688">
        <v>2</v>
      </c>
      <c r="I688" s="16">
        <f t="shared" si="110"/>
        <v>200</v>
      </c>
      <c r="J688">
        <v>2</v>
      </c>
      <c r="K688">
        <f t="shared" si="111"/>
        <v>200</v>
      </c>
      <c r="L688">
        <f t="shared" si="118"/>
        <v>0</v>
      </c>
      <c r="M688">
        <f t="shared" si="112"/>
        <v>0</v>
      </c>
      <c r="N688">
        <f t="shared" si="113"/>
        <v>0</v>
      </c>
      <c r="O688">
        <f t="shared" si="114"/>
        <v>0</v>
      </c>
    </row>
    <row r="689" spans="1:18" hidden="1" x14ac:dyDescent="0.3">
      <c r="A689">
        <v>8048</v>
      </c>
      <c r="B689" t="s">
        <v>1445</v>
      </c>
      <c r="C689" t="s">
        <v>1186</v>
      </c>
      <c r="D689" t="s">
        <v>1446</v>
      </c>
      <c r="E689" t="s">
        <v>13</v>
      </c>
      <c r="F689" t="s">
        <v>123</v>
      </c>
      <c r="G689">
        <v>130</v>
      </c>
      <c r="H689">
        <v>2</v>
      </c>
      <c r="I689" s="16">
        <f t="shared" si="110"/>
        <v>260</v>
      </c>
      <c r="J689">
        <v>2</v>
      </c>
      <c r="K689">
        <f t="shared" si="111"/>
        <v>260</v>
      </c>
      <c r="L689">
        <f t="shared" si="118"/>
        <v>0</v>
      </c>
      <c r="M689">
        <f t="shared" si="112"/>
        <v>0</v>
      </c>
      <c r="N689">
        <f t="shared" si="113"/>
        <v>0</v>
      </c>
      <c r="O689">
        <f t="shared" si="114"/>
        <v>0</v>
      </c>
    </row>
    <row r="690" spans="1:18" hidden="1" x14ac:dyDescent="0.3">
      <c r="A690">
        <v>8076</v>
      </c>
      <c r="B690" t="s">
        <v>1447</v>
      </c>
      <c r="C690" t="s">
        <v>1186</v>
      </c>
      <c r="D690" t="s">
        <v>1448</v>
      </c>
      <c r="E690" t="s">
        <v>13</v>
      </c>
      <c r="F690" t="s">
        <v>123</v>
      </c>
      <c r="G690">
        <v>110</v>
      </c>
      <c r="H690">
        <v>2</v>
      </c>
      <c r="I690" s="16">
        <f t="shared" si="110"/>
        <v>220</v>
      </c>
      <c r="J690">
        <v>2</v>
      </c>
      <c r="K690">
        <f t="shared" si="111"/>
        <v>220</v>
      </c>
      <c r="L690">
        <f t="shared" si="118"/>
        <v>0</v>
      </c>
      <c r="M690">
        <f t="shared" si="112"/>
        <v>0</v>
      </c>
      <c r="N690">
        <f t="shared" si="113"/>
        <v>0</v>
      </c>
      <c r="O690">
        <f t="shared" si="114"/>
        <v>0</v>
      </c>
    </row>
    <row r="691" spans="1:18" hidden="1" x14ac:dyDescent="0.3">
      <c r="A691">
        <v>8092</v>
      </c>
      <c r="B691" t="s">
        <v>1449</v>
      </c>
      <c r="C691" t="s">
        <v>1186</v>
      </c>
      <c r="D691" t="s">
        <v>1450</v>
      </c>
      <c r="E691" t="s">
        <v>13</v>
      </c>
      <c r="F691" t="s">
        <v>123</v>
      </c>
      <c r="G691">
        <v>110</v>
      </c>
      <c r="H691">
        <v>2</v>
      </c>
      <c r="I691" s="16">
        <f t="shared" si="110"/>
        <v>220</v>
      </c>
      <c r="J691">
        <v>2</v>
      </c>
      <c r="K691">
        <f t="shared" si="111"/>
        <v>220</v>
      </c>
      <c r="L691">
        <f t="shared" si="118"/>
        <v>0</v>
      </c>
      <c r="M691">
        <f t="shared" si="112"/>
        <v>0</v>
      </c>
      <c r="N691">
        <f t="shared" si="113"/>
        <v>0</v>
      </c>
      <c r="O691">
        <f t="shared" si="114"/>
        <v>0</v>
      </c>
    </row>
    <row r="692" spans="1:18" hidden="1" x14ac:dyDescent="0.3">
      <c r="A692">
        <v>5533</v>
      </c>
      <c r="B692" t="s">
        <v>1451</v>
      </c>
      <c r="C692" t="s">
        <v>1186</v>
      </c>
      <c r="D692" t="s">
        <v>1452</v>
      </c>
      <c r="E692" t="s">
        <v>13</v>
      </c>
      <c r="F692" t="s">
        <v>116</v>
      </c>
      <c r="G692">
        <v>90</v>
      </c>
      <c r="H692">
        <v>4</v>
      </c>
      <c r="I692" s="16">
        <f t="shared" si="110"/>
        <v>360</v>
      </c>
      <c r="J692">
        <v>4</v>
      </c>
      <c r="K692">
        <f t="shared" si="111"/>
        <v>360</v>
      </c>
      <c r="L692">
        <f t="shared" si="118"/>
        <v>0</v>
      </c>
      <c r="M692">
        <f t="shared" si="112"/>
        <v>0</v>
      </c>
      <c r="N692">
        <f t="shared" si="113"/>
        <v>0</v>
      </c>
      <c r="O692">
        <f t="shared" si="114"/>
        <v>0</v>
      </c>
    </row>
    <row r="693" spans="1:18" hidden="1" x14ac:dyDescent="0.3">
      <c r="A693">
        <v>11726</v>
      </c>
      <c r="B693" t="s">
        <v>1453</v>
      </c>
      <c r="C693" t="s">
        <v>1186</v>
      </c>
      <c r="D693" t="s">
        <v>1454</v>
      </c>
      <c r="E693" t="s">
        <v>13</v>
      </c>
      <c r="F693" t="s">
        <v>123</v>
      </c>
      <c r="G693">
        <v>180</v>
      </c>
      <c r="H693">
        <v>2</v>
      </c>
      <c r="I693" s="16">
        <f t="shared" si="110"/>
        <v>360</v>
      </c>
      <c r="J693">
        <v>2</v>
      </c>
      <c r="K693">
        <f t="shared" si="111"/>
        <v>360</v>
      </c>
      <c r="L693">
        <f t="shared" si="118"/>
        <v>0</v>
      </c>
      <c r="M693">
        <f t="shared" si="112"/>
        <v>0</v>
      </c>
      <c r="N693">
        <f t="shared" si="113"/>
        <v>0</v>
      </c>
      <c r="O693">
        <f t="shared" si="114"/>
        <v>0</v>
      </c>
    </row>
    <row r="694" spans="1:18" hidden="1" x14ac:dyDescent="0.3">
      <c r="A694">
        <v>8066</v>
      </c>
      <c r="B694" t="s">
        <v>1455</v>
      </c>
      <c r="C694" t="s">
        <v>1186</v>
      </c>
      <c r="D694" t="s">
        <v>1456</v>
      </c>
      <c r="E694" t="s">
        <v>13</v>
      </c>
      <c r="F694" t="s">
        <v>123</v>
      </c>
      <c r="G694">
        <v>110</v>
      </c>
      <c r="H694">
        <v>2</v>
      </c>
      <c r="I694" s="16">
        <f t="shared" si="110"/>
        <v>220</v>
      </c>
      <c r="J694">
        <v>2</v>
      </c>
      <c r="K694">
        <f t="shared" si="111"/>
        <v>220</v>
      </c>
      <c r="L694">
        <f t="shared" si="118"/>
        <v>0</v>
      </c>
      <c r="M694">
        <f t="shared" si="112"/>
        <v>0</v>
      </c>
      <c r="N694">
        <f t="shared" si="113"/>
        <v>0</v>
      </c>
      <c r="O694">
        <f t="shared" si="114"/>
        <v>0</v>
      </c>
    </row>
    <row r="695" spans="1:18" hidden="1" x14ac:dyDescent="0.3">
      <c r="A695">
        <v>6980</v>
      </c>
      <c r="B695" t="s">
        <v>1457</v>
      </c>
      <c r="C695" t="s">
        <v>1186</v>
      </c>
      <c r="D695" t="s">
        <v>1458</v>
      </c>
      <c r="E695" t="s">
        <v>13</v>
      </c>
      <c r="F695" t="s">
        <v>116</v>
      </c>
      <c r="G695">
        <v>90</v>
      </c>
      <c r="H695">
        <v>2</v>
      </c>
      <c r="I695" s="16">
        <f t="shared" si="110"/>
        <v>180</v>
      </c>
      <c r="J695">
        <v>2</v>
      </c>
      <c r="K695">
        <f t="shared" si="111"/>
        <v>180</v>
      </c>
      <c r="L695">
        <f t="shared" si="118"/>
        <v>0</v>
      </c>
      <c r="M695">
        <f t="shared" si="112"/>
        <v>0</v>
      </c>
      <c r="N695">
        <f t="shared" si="113"/>
        <v>0</v>
      </c>
      <c r="O695">
        <f t="shared" si="114"/>
        <v>0</v>
      </c>
    </row>
    <row r="696" spans="1:18" hidden="1" x14ac:dyDescent="0.3">
      <c r="A696">
        <v>5800</v>
      </c>
      <c r="B696" t="s">
        <v>1459</v>
      </c>
      <c r="C696" t="s">
        <v>1186</v>
      </c>
      <c r="D696" t="s">
        <v>1460</v>
      </c>
      <c r="E696" t="s">
        <v>13</v>
      </c>
      <c r="F696" t="s">
        <v>116</v>
      </c>
      <c r="G696">
        <v>200</v>
      </c>
      <c r="H696">
        <v>2</v>
      </c>
      <c r="I696" s="16">
        <f t="shared" si="110"/>
        <v>400</v>
      </c>
      <c r="J696">
        <v>2</v>
      </c>
      <c r="K696">
        <f t="shared" si="111"/>
        <v>400</v>
      </c>
      <c r="L696">
        <f t="shared" si="118"/>
        <v>0</v>
      </c>
      <c r="M696">
        <f t="shared" si="112"/>
        <v>0</v>
      </c>
      <c r="N696">
        <f t="shared" si="113"/>
        <v>0</v>
      </c>
      <c r="O696">
        <f t="shared" si="114"/>
        <v>0</v>
      </c>
    </row>
    <row r="697" spans="1:18" hidden="1" x14ac:dyDescent="0.3">
      <c r="A697">
        <v>8077</v>
      </c>
      <c r="B697" t="s">
        <v>1461</v>
      </c>
      <c r="C697" t="s">
        <v>1186</v>
      </c>
      <c r="D697" t="s">
        <v>1462</v>
      </c>
      <c r="E697" t="s">
        <v>13</v>
      </c>
      <c r="F697" t="s">
        <v>123</v>
      </c>
      <c r="G697">
        <v>90</v>
      </c>
      <c r="H697">
        <v>2</v>
      </c>
      <c r="I697" s="16">
        <f t="shared" si="110"/>
        <v>180</v>
      </c>
      <c r="J697">
        <v>2</v>
      </c>
      <c r="K697">
        <f t="shared" si="111"/>
        <v>180</v>
      </c>
      <c r="L697">
        <f t="shared" si="118"/>
        <v>0</v>
      </c>
      <c r="M697">
        <f t="shared" si="112"/>
        <v>0</v>
      </c>
      <c r="N697">
        <f t="shared" si="113"/>
        <v>0</v>
      </c>
      <c r="O697">
        <f t="shared" si="114"/>
        <v>0</v>
      </c>
    </row>
    <row r="698" spans="1:18" ht="18.3" x14ac:dyDescent="0.4">
      <c r="A698">
        <v>8090</v>
      </c>
      <c r="B698" t="s">
        <v>1463</v>
      </c>
      <c r="C698" t="s">
        <v>1186</v>
      </c>
      <c r="D698" t="s">
        <v>1464</v>
      </c>
      <c r="E698" t="s">
        <v>13</v>
      </c>
      <c r="F698" t="s">
        <v>123</v>
      </c>
      <c r="G698">
        <v>80</v>
      </c>
      <c r="H698">
        <v>2</v>
      </c>
      <c r="I698" s="16">
        <f t="shared" si="110"/>
        <v>160</v>
      </c>
      <c r="J698">
        <v>1</v>
      </c>
      <c r="K698">
        <f t="shared" si="111"/>
        <v>80</v>
      </c>
      <c r="L698">
        <f t="shared" si="118"/>
        <v>1</v>
      </c>
      <c r="M698">
        <f t="shared" si="112"/>
        <v>80</v>
      </c>
      <c r="N698">
        <f t="shared" si="113"/>
        <v>20</v>
      </c>
      <c r="O698">
        <f t="shared" si="114"/>
        <v>60</v>
      </c>
      <c r="R698" s="21" t="str">
        <f t="shared" ref="R698:R700" si="119">_xlfn.TEXTJOIN("  by ",TRUE,B697,C697)</f>
        <v>Sugamthaney Suseela?  by Pattukottai Prabakar</v>
      </c>
    </row>
    <row r="699" spans="1:18" ht="18.3" x14ac:dyDescent="0.4">
      <c r="A699">
        <v>8086</v>
      </c>
      <c r="B699" t="s">
        <v>1465</v>
      </c>
      <c r="C699" t="s">
        <v>1186</v>
      </c>
      <c r="D699" t="s">
        <v>1466</v>
      </c>
      <c r="E699" t="s">
        <v>13</v>
      </c>
      <c r="F699" t="s">
        <v>123</v>
      </c>
      <c r="G699">
        <v>110</v>
      </c>
      <c r="H699">
        <v>2</v>
      </c>
      <c r="I699" s="16">
        <f t="shared" si="110"/>
        <v>220</v>
      </c>
      <c r="J699">
        <v>1</v>
      </c>
      <c r="K699">
        <f t="shared" si="111"/>
        <v>110</v>
      </c>
      <c r="L699">
        <f t="shared" si="118"/>
        <v>1</v>
      </c>
      <c r="M699">
        <f t="shared" si="112"/>
        <v>110</v>
      </c>
      <c r="N699">
        <f t="shared" si="113"/>
        <v>27.5</v>
      </c>
      <c r="O699">
        <f t="shared" si="114"/>
        <v>82.5</v>
      </c>
      <c r="R699" s="21" t="str">
        <f t="shared" si="119"/>
        <v>Susee, Take It Easy  by Pattukottai Prabakar</v>
      </c>
    </row>
    <row r="700" spans="1:18" ht="18.3" x14ac:dyDescent="0.4">
      <c r="A700">
        <v>11728</v>
      </c>
      <c r="B700" t="s">
        <v>1467</v>
      </c>
      <c r="C700" t="s">
        <v>1186</v>
      </c>
      <c r="D700" t="s">
        <v>1468</v>
      </c>
      <c r="E700" t="s">
        <v>13</v>
      </c>
      <c r="F700" t="s">
        <v>123</v>
      </c>
      <c r="G700">
        <v>90</v>
      </c>
      <c r="H700">
        <v>2</v>
      </c>
      <c r="I700" s="16">
        <f t="shared" si="110"/>
        <v>180</v>
      </c>
      <c r="J700">
        <v>1</v>
      </c>
      <c r="K700">
        <f t="shared" si="111"/>
        <v>90</v>
      </c>
      <c r="L700">
        <f t="shared" si="118"/>
        <v>1</v>
      </c>
      <c r="M700">
        <f t="shared" si="112"/>
        <v>90</v>
      </c>
      <c r="N700">
        <f t="shared" si="113"/>
        <v>22.5</v>
      </c>
      <c r="O700">
        <f t="shared" si="114"/>
        <v>67.5</v>
      </c>
      <c r="R700" s="21" t="str">
        <f t="shared" si="119"/>
        <v>Suseelavukku Oru Salute  by Pattukottai Prabakar</v>
      </c>
    </row>
    <row r="701" spans="1:18" hidden="1" x14ac:dyDescent="0.3">
      <c r="A701">
        <v>8120</v>
      </c>
      <c r="B701" t="s">
        <v>1469</v>
      </c>
      <c r="C701" t="s">
        <v>1186</v>
      </c>
      <c r="D701" t="s">
        <v>1470</v>
      </c>
      <c r="E701" t="s">
        <v>13</v>
      </c>
      <c r="F701" t="s">
        <v>123</v>
      </c>
      <c r="G701">
        <v>130</v>
      </c>
      <c r="H701">
        <v>2</v>
      </c>
      <c r="I701" s="16">
        <f t="shared" si="110"/>
        <v>260</v>
      </c>
      <c r="J701">
        <v>2</v>
      </c>
      <c r="K701">
        <f t="shared" si="111"/>
        <v>260</v>
      </c>
      <c r="L701">
        <f t="shared" si="118"/>
        <v>0</v>
      </c>
      <c r="M701">
        <f t="shared" si="112"/>
        <v>0</v>
      </c>
      <c r="N701">
        <f t="shared" si="113"/>
        <v>0</v>
      </c>
      <c r="O701">
        <f t="shared" si="114"/>
        <v>0</v>
      </c>
    </row>
    <row r="702" spans="1:18" hidden="1" x14ac:dyDescent="0.3">
      <c r="A702">
        <v>7010</v>
      </c>
      <c r="B702" t="s">
        <v>1471</v>
      </c>
      <c r="C702" t="s">
        <v>1186</v>
      </c>
      <c r="D702" t="s">
        <v>1472</v>
      </c>
      <c r="E702" t="s">
        <v>13</v>
      </c>
      <c r="F702" t="s">
        <v>1238</v>
      </c>
      <c r="G702">
        <v>130</v>
      </c>
      <c r="H702">
        <v>2</v>
      </c>
      <c r="I702" s="16">
        <f t="shared" si="110"/>
        <v>260</v>
      </c>
      <c r="J702">
        <v>2</v>
      </c>
      <c r="K702">
        <f t="shared" si="111"/>
        <v>260</v>
      </c>
      <c r="L702">
        <f t="shared" si="118"/>
        <v>0</v>
      </c>
      <c r="M702">
        <f t="shared" si="112"/>
        <v>0</v>
      </c>
      <c r="N702">
        <f t="shared" si="113"/>
        <v>0</v>
      </c>
      <c r="O702">
        <f t="shared" si="114"/>
        <v>0</v>
      </c>
    </row>
    <row r="703" spans="1:18" hidden="1" x14ac:dyDescent="0.3">
      <c r="A703">
        <v>8049</v>
      </c>
      <c r="B703" t="s">
        <v>1473</v>
      </c>
      <c r="C703" t="s">
        <v>1186</v>
      </c>
      <c r="D703" t="s">
        <v>1474</v>
      </c>
      <c r="E703" t="s">
        <v>13</v>
      </c>
      <c r="F703" t="s">
        <v>123</v>
      </c>
      <c r="G703">
        <v>100</v>
      </c>
      <c r="H703">
        <v>2</v>
      </c>
      <c r="I703" s="16">
        <f t="shared" si="110"/>
        <v>200</v>
      </c>
      <c r="J703">
        <v>2</v>
      </c>
      <c r="K703">
        <f t="shared" si="111"/>
        <v>200</v>
      </c>
      <c r="L703">
        <f t="shared" si="118"/>
        <v>0</v>
      </c>
      <c r="M703">
        <f t="shared" si="112"/>
        <v>0</v>
      </c>
      <c r="N703">
        <f t="shared" si="113"/>
        <v>0</v>
      </c>
      <c r="O703">
        <f t="shared" si="114"/>
        <v>0</v>
      </c>
    </row>
    <row r="704" spans="1:18" ht="18.3" x14ac:dyDescent="0.4">
      <c r="A704">
        <v>236</v>
      </c>
      <c r="B704" t="s">
        <v>1475</v>
      </c>
      <c r="C704" t="s">
        <v>1186</v>
      </c>
      <c r="D704" t="s">
        <v>1476</v>
      </c>
      <c r="E704" t="s">
        <v>13</v>
      </c>
      <c r="F704" t="s">
        <v>123</v>
      </c>
      <c r="G704">
        <v>110</v>
      </c>
      <c r="H704">
        <v>2</v>
      </c>
      <c r="I704" s="16">
        <f t="shared" si="110"/>
        <v>220</v>
      </c>
      <c r="J704">
        <v>1</v>
      </c>
      <c r="K704">
        <f t="shared" si="111"/>
        <v>110</v>
      </c>
      <c r="L704">
        <f t="shared" si="118"/>
        <v>1</v>
      </c>
      <c r="M704">
        <f t="shared" si="112"/>
        <v>110</v>
      </c>
      <c r="N704">
        <f t="shared" si="113"/>
        <v>27.5</v>
      </c>
      <c r="O704">
        <f t="shared" si="114"/>
        <v>82.5</v>
      </c>
      <c r="R704" s="21" t="str">
        <f t="shared" ref="R704:R706" si="120">_xlfn.TEXTJOIN("  by ",TRUE,B703,C703)</f>
        <v>Thappikka Thadaiyillai  by Pattukottai Prabakar</v>
      </c>
    </row>
    <row r="705" spans="1:18" ht="18.3" x14ac:dyDescent="0.4">
      <c r="A705">
        <v>5248</v>
      </c>
      <c r="B705" t="s">
        <v>1477</v>
      </c>
      <c r="C705" t="s">
        <v>1186</v>
      </c>
      <c r="D705" t="s">
        <v>1478</v>
      </c>
      <c r="E705" t="s">
        <v>13</v>
      </c>
      <c r="F705" t="s">
        <v>116</v>
      </c>
      <c r="G705">
        <v>250</v>
      </c>
      <c r="H705">
        <v>2</v>
      </c>
      <c r="I705" s="16">
        <f t="shared" si="110"/>
        <v>500</v>
      </c>
      <c r="J705">
        <v>1</v>
      </c>
      <c r="K705">
        <f t="shared" si="111"/>
        <v>250</v>
      </c>
      <c r="L705">
        <f t="shared" si="118"/>
        <v>1</v>
      </c>
      <c r="M705">
        <f t="shared" si="112"/>
        <v>250</v>
      </c>
      <c r="N705">
        <f t="shared" si="113"/>
        <v>62.5</v>
      </c>
      <c r="O705">
        <f t="shared" si="114"/>
        <v>187.5</v>
      </c>
      <c r="R705" s="21" t="str">
        <f t="shared" si="120"/>
        <v>Thayangaathey Thappillai  by Pattukottai Prabakar</v>
      </c>
    </row>
    <row r="706" spans="1:18" ht="18.3" x14ac:dyDescent="0.4">
      <c r="A706">
        <v>8088</v>
      </c>
      <c r="B706" t="s">
        <v>1479</v>
      </c>
      <c r="C706" t="s">
        <v>1186</v>
      </c>
      <c r="D706" t="s">
        <v>1480</v>
      </c>
      <c r="E706" t="s">
        <v>13</v>
      </c>
      <c r="F706" t="s">
        <v>123</v>
      </c>
      <c r="G706">
        <v>110</v>
      </c>
      <c r="H706">
        <v>2</v>
      </c>
      <c r="I706" s="16">
        <f t="shared" si="110"/>
        <v>220</v>
      </c>
      <c r="J706">
        <v>1</v>
      </c>
      <c r="K706">
        <f t="shared" si="111"/>
        <v>110</v>
      </c>
      <c r="L706">
        <f t="shared" si="118"/>
        <v>1</v>
      </c>
      <c r="M706">
        <f t="shared" si="112"/>
        <v>110</v>
      </c>
      <c r="N706">
        <f t="shared" si="113"/>
        <v>27.5</v>
      </c>
      <c r="O706">
        <f t="shared" si="114"/>
        <v>82.5</v>
      </c>
      <c r="R706" s="21" t="str">
        <f t="shared" si="120"/>
        <v>Theerpu Thedi Varum!  by Pattukottai Prabakar</v>
      </c>
    </row>
    <row r="707" spans="1:18" hidden="1" x14ac:dyDescent="0.3">
      <c r="A707">
        <v>6664</v>
      </c>
      <c r="B707" t="s">
        <v>1481</v>
      </c>
      <c r="C707" t="s">
        <v>1186</v>
      </c>
      <c r="D707" t="s">
        <v>1482</v>
      </c>
      <c r="E707" t="s">
        <v>13</v>
      </c>
      <c r="F707" t="s">
        <v>44</v>
      </c>
      <c r="G707">
        <v>70</v>
      </c>
      <c r="H707">
        <v>2</v>
      </c>
      <c r="I707" s="16">
        <f t="shared" ref="I707:I770" si="121">H707*G707</f>
        <v>140</v>
      </c>
      <c r="J707">
        <v>2</v>
      </c>
      <c r="K707">
        <f t="shared" ref="K707:K770" si="122">J707*G707</f>
        <v>140</v>
      </c>
      <c r="L707">
        <f t="shared" si="118"/>
        <v>0</v>
      </c>
      <c r="M707">
        <f t="shared" ref="M707:M770" si="123">L707*G707</f>
        <v>0</v>
      </c>
      <c r="N707">
        <f t="shared" ref="N707:N770" si="124">M707*0.25</f>
        <v>0</v>
      </c>
      <c r="O707">
        <f t="shared" ref="O707:O770" si="125">M707-N707</f>
        <v>0</v>
      </c>
    </row>
    <row r="708" spans="1:18" hidden="1" x14ac:dyDescent="0.3">
      <c r="A708">
        <v>4514</v>
      </c>
      <c r="B708" t="s">
        <v>1483</v>
      </c>
      <c r="C708" t="s">
        <v>1186</v>
      </c>
      <c r="D708" t="s">
        <v>1484</v>
      </c>
      <c r="E708" t="s">
        <v>13</v>
      </c>
      <c r="F708" t="s">
        <v>44</v>
      </c>
      <c r="G708">
        <v>110</v>
      </c>
      <c r="H708">
        <v>2</v>
      </c>
      <c r="I708" s="16">
        <f t="shared" si="121"/>
        <v>220</v>
      </c>
      <c r="J708">
        <v>2</v>
      </c>
      <c r="K708">
        <f t="shared" si="122"/>
        <v>220</v>
      </c>
      <c r="L708">
        <f t="shared" si="118"/>
        <v>0</v>
      </c>
      <c r="M708">
        <f t="shared" si="123"/>
        <v>0</v>
      </c>
      <c r="N708">
        <f t="shared" si="124"/>
        <v>0</v>
      </c>
      <c r="O708">
        <f t="shared" si="125"/>
        <v>0</v>
      </c>
    </row>
    <row r="709" spans="1:18" hidden="1" x14ac:dyDescent="0.3">
      <c r="A709">
        <v>5589</v>
      </c>
      <c r="B709" t="s">
        <v>1485</v>
      </c>
      <c r="C709" t="s">
        <v>1186</v>
      </c>
      <c r="D709" t="s">
        <v>1486</v>
      </c>
      <c r="E709" t="s">
        <v>13</v>
      </c>
      <c r="F709" t="s">
        <v>39</v>
      </c>
      <c r="G709">
        <v>220</v>
      </c>
      <c r="H709">
        <v>2</v>
      </c>
      <c r="I709" s="16">
        <f t="shared" si="121"/>
        <v>440</v>
      </c>
      <c r="J709">
        <v>2</v>
      </c>
      <c r="K709">
        <f t="shared" si="122"/>
        <v>440</v>
      </c>
      <c r="L709">
        <f t="shared" si="118"/>
        <v>0</v>
      </c>
      <c r="M709">
        <f t="shared" si="123"/>
        <v>0</v>
      </c>
      <c r="N709">
        <f t="shared" si="124"/>
        <v>0</v>
      </c>
      <c r="O709">
        <f t="shared" si="125"/>
        <v>0</v>
      </c>
    </row>
    <row r="710" spans="1:18" ht="18.3" x14ac:dyDescent="0.4">
      <c r="A710">
        <v>463</v>
      </c>
      <c r="B710" t="s">
        <v>1487</v>
      </c>
      <c r="C710" t="s">
        <v>1186</v>
      </c>
      <c r="D710" t="s">
        <v>1488</v>
      </c>
      <c r="E710" t="s">
        <v>13</v>
      </c>
      <c r="F710" t="s">
        <v>116</v>
      </c>
      <c r="G710">
        <v>330</v>
      </c>
      <c r="H710">
        <v>2</v>
      </c>
      <c r="I710" s="16">
        <f t="shared" si="121"/>
        <v>660</v>
      </c>
      <c r="J710">
        <v>0</v>
      </c>
      <c r="K710">
        <f t="shared" si="122"/>
        <v>0</v>
      </c>
      <c r="L710">
        <f t="shared" si="118"/>
        <v>2</v>
      </c>
      <c r="M710">
        <f t="shared" si="123"/>
        <v>660</v>
      </c>
      <c r="N710">
        <f t="shared" si="124"/>
        <v>165</v>
      </c>
      <c r="O710">
        <f t="shared" si="125"/>
        <v>495</v>
      </c>
      <c r="R710" s="21" t="str">
        <f t="shared" ref="R710:R711" si="126">_xlfn.TEXTJOIN("  by ",TRUE,B709,C709)</f>
        <v>Thodarum...  by Pattukottai Prabakar</v>
      </c>
    </row>
    <row r="711" spans="1:18" ht="18.3" x14ac:dyDescent="0.4">
      <c r="A711">
        <v>3695</v>
      </c>
      <c r="B711" t="s">
        <v>1489</v>
      </c>
      <c r="C711" t="s">
        <v>1186</v>
      </c>
      <c r="D711" t="s">
        <v>1490</v>
      </c>
      <c r="E711" t="s">
        <v>13</v>
      </c>
      <c r="F711" t="s">
        <v>116</v>
      </c>
      <c r="G711">
        <v>100</v>
      </c>
      <c r="H711">
        <v>2</v>
      </c>
      <c r="I711" s="16">
        <f t="shared" si="121"/>
        <v>200</v>
      </c>
      <c r="J711">
        <v>1</v>
      </c>
      <c r="K711">
        <f t="shared" si="122"/>
        <v>100</v>
      </c>
      <c r="L711">
        <f t="shared" si="118"/>
        <v>1</v>
      </c>
      <c r="M711">
        <f t="shared" si="123"/>
        <v>100</v>
      </c>
      <c r="N711">
        <f t="shared" si="124"/>
        <v>25</v>
      </c>
      <c r="O711">
        <f t="shared" si="125"/>
        <v>75</v>
      </c>
      <c r="R711" s="21" t="str">
        <f t="shared" si="126"/>
        <v>Thottal Thodarum  by Pattukottai Prabakar</v>
      </c>
    </row>
    <row r="712" spans="1:18" hidden="1" x14ac:dyDescent="0.3">
      <c r="A712">
        <v>8178</v>
      </c>
      <c r="B712" t="s">
        <v>1491</v>
      </c>
      <c r="C712" t="s">
        <v>1186</v>
      </c>
      <c r="D712" t="s">
        <v>1492</v>
      </c>
      <c r="E712" t="s">
        <v>13</v>
      </c>
      <c r="F712" t="s">
        <v>123</v>
      </c>
      <c r="G712">
        <v>100</v>
      </c>
      <c r="H712">
        <v>2</v>
      </c>
      <c r="I712" s="16">
        <f t="shared" si="121"/>
        <v>200</v>
      </c>
      <c r="J712">
        <v>2</v>
      </c>
      <c r="K712">
        <f t="shared" si="122"/>
        <v>200</v>
      </c>
      <c r="L712">
        <f t="shared" si="118"/>
        <v>0</v>
      </c>
      <c r="M712">
        <f t="shared" si="123"/>
        <v>0</v>
      </c>
      <c r="N712">
        <f t="shared" si="124"/>
        <v>0</v>
      </c>
      <c r="O712">
        <f t="shared" si="125"/>
        <v>0</v>
      </c>
    </row>
    <row r="713" spans="1:18" hidden="1" x14ac:dyDescent="0.3">
      <c r="A713">
        <v>6659</v>
      </c>
      <c r="B713" t="s">
        <v>1493</v>
      </c>
      <c r="C713" t="s">
        <v>1186</v>
      </c>
      <c r="D713" t="s">
        <v>1494</v>
      </c>
      <c r="E713" t="s">
        <v>13</v>
      </c>
      <c r="F713" t="s">
        <v>44</v>
      </c>
      <c r="G713">
        <v>140</v>
      </c>
      <c r="H713">
        <v>2</v>
      </c>
      <c r="I713" s="16">
        <f t="shared" si="121"/>
        <v>280</v>
      </c>
      <c r="J713">
        <v>2</v>
      </c>
      <c r="K713">
        <f t="shared" si="122"/>
        <v>280</v>
      </c>
      <c r="L713">
        <f t="shared" si="118"/>
        <v>0</v>
      </c>
      <c r="M713">
        <f t="shared" si="123"/>
        <v>0</v>
      </c>
      <c r="N713">
        <f t="shared" si="124"/>
        <v>0</v>
      </c>
      <c r="O713">
        <f t="shared" si="125"/>
        <v>0</v>
      </c>
    </row>
    <row r="714" spans="1:18" ht="18.3" x14ac:dyDescent="0.4">
      <c r="A714">
        <v>8111</v>
      </c>
      <c r="B714" t="s">
        <v>1495</v>
      </c>
      <c r="C714" t="s">
        <v>1186</v>
      </c>
      <c r="D714" t="s">
        <v>1496</v>
      </c>
      <c r="E714" t="s">
        <v>13</v>
      </c>
      <c r="F714" t="s">
        <v>123</v>
      </c>
      <c r="G714">
        <v>100</v>
      </c>
      <c r="H714">
        <v>4</v>
      </c>
      <c r="I714" s="16">
        <f t="shared" si="121"/>
        <v>400</v>
      </c>
      <c r="J714">
        <v>3</v>
      </c>
      <c r="K714">
        <f t="shared" si="122"/>
        <v>300</v>
      </c>
      <c r="L714">
        <f t="shared" si="118"/>
        <v>1</v>
      </c>
      <c r="M714">
        <f t="shared" si="123"/>
        <v>100</v>
      </c>
      <c r="N714">
        <f t="shared" si="124"/>
        <v>25</v>
      </c>
      <c r="O714">
        <f t="shared" si="125"/>
        <v>75</v>
      </c>
      <c r="R714" s="21" t="str">
        <f t="shared" ref="R714:R716" si="127">_xlfn.TEXTJOIN("  by ",TRUE,B713,C713)</f>
        <v>Thuduppillatha Padagugal  by Pattukottai Prabakar</v>
      </c>
    </row>
    <row r="715" spans="1:18" ht="18.3" x14ac:dyDescent="0.4">
      <c r="A715">
        <v>6498</v>
      </c>
      <c r="B715" t="s">
        <v>1497</v>
      </c>
      <c r="C715" t="s">
        <v>1186</v>
      </c>
      <c r="D715" t="s">
        <v>1498</v>
      </c>
      <c r="E715" t="s">
        <v>13</v>
      </c>
      <c r="F715" t="s">
        <v>116</v>
      </c>
      <c r="G715">
        <v>100</v>
      </c>
      <c r="H715">
        <v>2</v>
      </c>
      <c r="I715" s="16">
        <f t="shared" si="121"/>
        <v>200</v>
      </c>
      <c r="J715">
        <v>1</v>
      </c>
      <c r="K715">
        <f t="shared" si="122"/>
        <v>100</v>
      </c>
      <c r="L715">
        <f t="shared" si="118"/>
        <v>1</v>
      </c>
      <c r="M715">
        <f t="shared" si="123"/>
        <v>100</v>
      </c>
      <c r="N715">
        <f t="shared" si="124"/>
        <v>25</v>
      </c>
      <c r="O715">
        <f t="shared" si="125"/>
        <v>75</v>
      </c>
      <c r="R715" s="21" t="str">
        <f t="shared" si="127"/>
        <v>Thuppakki Munaiyil  by Pattukottai Prabakar</v>
      </c>
    </row>
    <row r="716" spans="1:18" ht="18.3" x14ac:dyDescent="0.4">
      <c r="A716">
        <v>8044</v>
      </c>
      <c r="B716" t="s">
        <v>1499</v>
      </c>
      <c r="C716" t="s">
        <v>1186</v>
      </c>
      <c r="D716" t="s">
        <v>1500</v>
      </c>
      <c r="E716" t="s">
        <v>13</v>
      </c>
      <c r="F716" t="s">
        <v>123</v>
      </c>
      <c r="G716">
        <v>90</v>
      </c>
      <c r="H716">
        <v>2</v>
      </c>
      <c r="I716" s="16">
        <f t="shared" si="121"/>
        <v>180</v>
      </c>
      <c r="J716">
        <v>1</v>
      </c>
      <c r="K716">
        <f t="shared" si="122"/>
        <v>90</v>
      </c>
      <c r="L716">
        <f t="shared" si="118"/>
        <v>1</v>
      </c>
      <c r="M716">
        <f t="shared" si="123"/>
        <v>90</v>
      </c>
      <c r="N716">
        <f t="shared" si="124"/>
        <v>22.5</v>
      </c>
      <c r="O716">
        <f t="shared" si="125"/>
        <v>67.5</v>
      </c>
      <c r="R716" s="21" t="str">
        <f t="shared" si="127"/>
        <v>Thuppakki Vidu Thoothu  by Pattukottai Prabakar</v>
      </c>
    </row>
    <row r="717" spans="1:18" hidden="1" x14ac:dyDescent="0.3">
      <c r="A717">
        <v>8072</v>
      </c>
      <c r="B717" t="s">
        <v>1501</v>
      </c>
      <c r="C717" t="s">
        <v>1186</v>
      </c>
      <c r="D717" t="s">
        <v>1502</v>
      </c>
      <c r="E717" t="s">
        <v>13</v>
      </c>
      <c r="F717" t="s">
        <v>123</v>
      </c>
      <c r="G717">
        <v>120</v>
      </c>
      <c r="H717">
        <v>2</v>
      </c>
      <c r="I717" s="16">
        <f t="shared" si="121"/>
        <v>240</v>
      </c>
      <c r="J717">
        <v>2</v>
      </c>
      <c r="K717">
        <f t="shared" si="122"/>
        <v>240</v>
      </c>
      <c r="L717">
        <f t="shared" si="118"/>
        <v>0</v>
      </c>
      <c r="M717">
        <f t="shared" si="123"/>
        <v>0</v>
      </c>
      <c r="N717">
        <f t="shared" si="124"/>
        <v>0</v>
      </c>
      <c r="O717">
        <f t="shared" si="125"/>
        <v>0</v>
      </c>
    </row>
    <row r="718" spans="1:18" hidden="1" x14ac:dyDescent="0.3">
      <c r="A718">
        <v>6499</v>
      </c>
      <c r="B718" t="s">
        <v>1503</v>
      </c>
      <c r="C718" t="s">
        <v>1186</v>
      </c>
      <c r="D718" t="s">
        <v>1504</v>
      </c>
      <c r="E718" t="s">
        <v>13</v>
      </c>
      <c r="F718" t="s">
        <v>39</v>
      </c>
      <c r="G718">
        <v>140</v>
      </c>
      <c r="H718">
        <v>2</v>
      </c>
      <c r="I718" s="16">
        <f t="shared" si="121"/>
        <v>280</v>
      </c>
      <c r="J718">
        <v>2</v>
      </c>
      <c r="K718">
        <f t="shared" si="122"/>
        <v>280</v>
      </c>
      <c r="L718">
        <f t="shared" si="118"/>
        <v>0</v>
      </c>
      <c r="M718">
        <f t="shared" si="123"/>
        <v>0</v>
      </c>
      <c r="N718">
        <f t="shared" si="124"/>
        <v>0</v>
      </c>
      <c r="O718">
        <f t="shared" si="125"/>
        <v>0</v>
      </c>
    </row>
    <row r="719" spans="1:18" hidden="1" x14ac:dyDescent="0.3">
      <c r="A719">
        <v>8113</v>
      </c>
      <c r="B719" t="s">
        <v>1505</v>
      </c>
      <c r="C719" t="s">
        <v>1186</v>
      </c>
      <c r="D719" t="s">
        <v>1506</v>
      </c>
      <c r="E719" t="s">
        <v>13</v>
      </c>
      <c r="F719" t="s">
        <v>123</v>
      </c>
      <c r="G719">
        <v>120</v>
      </c>
      <c r="H719">
        <v>2</v>
      </c>
      <c r="I719" s="16">
        <f t="shared" si="121"/>
        <v>240</v>
      </c>
      <c r="J719">
        <v>2</v>
      </c>
      <c r="K719">
        <f t="shared" si="122"/>
        <v>240</v>
      </c>
      <c r="L719">
        <f t="shared" si="118"/>
        <v>0</v>
      </c>
      <c r="M719">
        <f t="shared" si="123"/>
        <v>0</v>
      </c>
      <c r="N719">
        <f t="shared" si="124"/>
        <v>0</v>
      </c>
      <c r="O719">
        <f t="shared" si="125"/>
        <v>0</v>
      </c>
    </row>
    <row r="720" spans="1:18" hidden="1" x14ac:dyDescent="0.3">
      <c r="A720">
        <v>3553</v>
      </c>
      <c r="B720" t="s">
        <v>1507</v>
      </c>
      <c r="C720" t="s">
        <v>1186</v>
      </c>
      <c r="D720" t="s">
        <v>1508</v>
      </c>
      <c r="E720" t="s">
        <v>13</v>
      </c>
      <c r="F720" t="s">
        <v>14</v>
      </c>
      <c r="G720">
        <v>110</v>
      </c>
      <c r="H720">
        <v>2</v>
      </c>
      <c r="I720" s="16">
        <f t="shared" si="121"/>
        <v>220</v>
      </c>
      <c r="J720">
        <v>2</v>
      </c>
      <c r="K720">
        <f t="shared" si="122"/>
        <v>220</v>
      </c>
      <c r="L720">
        <f t="shared" si="118"/>
        <v>0</v>
      </c>
      <c r="M720">
        <f t="shared" si="123"/>
        <v>0</v>
      </c>
      <c r="N720">
        <f t="shared" si="124"/>
        <v>0</v>
      </c>
      <c r="O720">
        <f t="shared" si="125"/>
        <v>0</v>
      </c>
    </row>
    <row r="721" spans="1:18" ht="18.3" x14ac:dyDescent="0.4">
      <c r="A721">
        <v>5461</v>
      </c>
      <c r="B721" t="s">
        <v>1509</v>
      </c>
      <c r="C721" t="s">
        <v>1186</v>
      </c>
      <c r="D721" t="s">
        <v>1510</v>
      </c>
      <c r="E721" t="s">
        <v>13</v>
      </c>
      <c r="F721" t="s">
        <v>14</v>
      </c>
      <c r="G721">
        <v>230</v>
      </c>
      <c r="H721">
        <v>2</v>
      </c>
      <c r="I721" s="16">
        <f t="shared" si="121"/>
        <v>460</v>
      </c>
      <c r="J721">
        <v>1</v>
      </c>
      <c r="K721">
        <f t="shared" si="122"/>
        <v>230</v>
      </c>
      <c r="L721">
        <f t="shared" si="118"/>
        <v>1</v>
      </c>
      <c r="M721">
        <f t="shared" si="123"/>
        <v>230</v>
      </c>
      <c r="N721">
        <f t="shared" si="124"/>
        <v>57.5</v>
      </c>
      <c r="O721">
        <f t="shared" si="125"/>
        <v>172.5</v>
      </c>
      <c r="R721" s="21" t="str">
        <f>_xlfn.TEXTJOIN("  by ",TRUE,B720,C720)</f>
        <v>Uyirai Kavarntha Uyire!  by Pattukottai Prabakar</v>
      </c>
    </row>
    <row r="722" spans="1:18" hidden="1" x14ac:dyDescent="0.3">
      <c r="A722">
        <v>5535</v>
      </c>
      <c r="B722" t="s">
        <v>1511</v>
      </c>
      <c r="C722" t="s">
        <v>1186</v>
      </c>
      <c r="D722" t="s">
        <v>1512</v>
      </c>
      <c r="E722" t="s">
        <v>13</v>
      </c>
      <c r="F722" t="s">
        <v>39</v>
      </c>
      <c r="G722">
        <v>220</v>
      </c>
      <c r="H722">
        <v>2</v>
      </c>
      <c r="I722" s="16">
        <f t="shared" si="121"/>
        <v>440</v>
      </c>
      <c r="J722">
        <v>2</v>
      </c>
      <c r="K722">
        <f t="shared" si="122"/>
        <v>440</v>
      </c>
      <c r="L722">
        <f t="shared" si="118"/>
        <v>0</v>
      </c>
      <c r="M722">
        <f t="shared" si="123"/>
        <v>0</v>
      </c>
      <c r="N722">
        <f t="shared" si="124"/>
        <v>0</v>
      </c>
      <c r="O722">
        <f t="shared" si="125"/>
        <v>0</v>
      </c>
    </row>
    <row r="723" spans="1:18" ht="18.3" x14ac:dyDescent="0.4">
      <c r="A723">
        <v>3670</v>
      </c>
      <c r="B723" t="s">
        <v>1513</v>
      </c>
      <c r="C723" t="s">
        <v>1186</v>
      </c>
      <c r="D723" t="s">
        <v>1514</v>
      </c>
      <c r="E723" t="s">
        <v>13</v>
      </c>
      <c r="F723" t="s">
        <v>116</v>
      </c>
      <c r="G723">
        <v>120</v>
      </c>
      <c r="H723">
        <v>2</v>
      </c>
      <c r="I723" s="16">
        <f t="shared" si="121"/>
        <v>240</v>
      </c>
      <c r="J723">
        <v>1</v>
      </c>
      <c r="K723">
        <f t="shared" si="122"/>
        <v>120</v>
      </c>
      <c r="L723">
        <f t="shared" si="118"/>
        <v>1</v>
      </c>
      <c r="M723">
        <f t="shared" si="123"/>
        <v>120</v>
      </c>
      <c r="N723">
        <f t="shared" si="124"/>
        <v>30</v>
      </c>
      <c r="O723">
        <f t="shared" si="125"/>
        <v>90</v>
      </c>
      <c r="R723" s="21" t="str">
        <f t="shared" ref="R723:R724" si="128">_xlfn.TEXTJOIN("  by ",TRUE,B722,C722)</f>
        <v>Uyirodu Uravadu  by Pattukottai Prabakar</v>
      </c>
    </row>
    <row r="724" spans="1:18" ht="18.3" x14ac:dyDescent="0.4">
      <c r="A724">
        <v>6661</v>
      </c>
      <c r="B724" t="s">
        <v>1515</v>
      </c>
      <c r="C724" t="s">
        <v>1186</v>
      </c>
      <c r="D724" t="s">
        <v>1516</v>
      </c>
      <c r="E724" t="s">
        <v>13</v>
      </c>
      <c r="F724" t="s">
        <v>39</v>
      </c>
      <c r="G724">
        <v>110</v>
      </c>
      <c r="H724">
        <v>2</v>
      </c>
      <c r="I724" s="16">
        <f t="shared" si="121"/>
        <v>220</v>
      </c>
      <c r="J724">
        <v>1</v>
      </c>
      <c r="K724">
        <f t="shared" si="122"/>
        <v>110</v>
      </c>
      <c r="L724">
        <f t="shared" si="118"/>
        <v>1</v>
      </c>
      <c r="M724">
        <f t="shared" si="123"/>
        <v>110</v>
      </c>
      <c r="N724">
        <f t="shared" si="124"/>
        <v>27.5</v>
      </c>
      <c r="O724">
        <f t="shared" si="125"/>
        <v>82.5</v>
      </c>
      <c r="R724" s="21" t="str">
        <f t="shared" si="128"/>
        <v>Uyirodu Vendum…  by Pattukottai Prabakar</v>
      </c>
    </row>
    <row r="725" spans="1:18" hidden="1" x14ac:dyDescent="0.3">
      <c r="A725">
        <v>966</v>
      </c>
      <c r="B725" t="s">
        <v>1517</v>
      </c>
      <c r="C725" t="s">
        <v>1186</v>
      </c>
      <c r="D725" t="s">
        <v>1518</v>
      </c>
      <c r="E725" t="s">
        <v>13</v>
      </c>
      <c r="F725" t="s">
        <v>14</v>
      </c>
      <c r="G725">
        <v>190</v>
      </c>
      <c r="H725">
        <v>4</v>
      </c>
      <c r="I725" s="16">
        <f t="shared" si="121"/>
        <v>760</v>
      </c>
      <c r="J725">
        <v>4</v>
      </c>
      <c r="K725">
        <f t="shared" si="122"/>
        <v>760</v>
      </c>
      <c r="L725">
        <f t="shared" si="118"/>
        <v>0</v>
      </c>
      <c r="M725">
        <f t="shared" si="123"/>
        <v>0</v>
      </c>
      <c r="N725">
        <f t="shared" si="124"/>
        <v>0</v>
      </c>
      <c r="O725">
        <f t="shared" si="125"/>
        <v>0</v>
      </c>
    </row>
    <row r="726" spans="1:18" hidden="1" x14ac:dyDescent="0.3">
      <c r="A726">
        <v>6995</v>
      </c>
      <c r="B726" t="s">
        <v>1519</v>
      </c>
      <c r="C726" t="s">
        <v>1186</v>
      </c>
      <c r="D726" t="s">
        <v>1520</v>
      </c>
      <c r="E726" t="s">
        <v>13</v>
      </c>
      <c r="F726" t="s">
        <v>116</v>
      </c>
      <c r="G726">
        <v>110</v>
      </c>
      <c r="H726">
        <v>2</v>
      </c>
      <c r="I726" s="16">
        <f t="shared" si="121"/>
        <v>220</v>
      </c>
      <c r="J726">
        <v>2</v>
      </c>
      <c r="K726">
        <f t="shared" si="122"/>
        <v>220</v>
      </c>
      <c r="L726">
        <f t="shared" si="118"/>
        <v>0</v>
      </c>
      <c r="M726">
        <f t="shared" si="123"/>
        <v>0</v>
      </c>
      <c r="N726">
        <f t="shared" si="124"/>
        <v>0</v>
      </c>
      <c r="O726">
        <f t="shared" si="125"/>
        <v>0</v>
      </c>
    </row>
    <row r="727" spans="1:18" ht="18.3" x14ac:dyDescent="0.4">
      <c r="A727">
        <v>5534</v>
      </c>
      <c r="B727" t="s">
        <v>1521</v>
      </c>
      <c r="C727" t="s">
        <v>1186</v>
      </c>
      <c r="D727" t="s">
        <v>1522</v>
      </c>
      <c r="E727" t="s">
        <v>13</v>
      </c>
      <c r="F727" t="s">
        <v>39</v>
      </c>
      <c r="G727">
        <v>210</v>
      </c>
      <c r="H727">
        <v>2</v>
      </c>
      <c r="I727" s="16">
        <f t="shared" si="121"/>
        <v>420</v>
      </c>
      <c r="J727">
        <v>1</v>
      </c>
      <c r="K727">
        <f t="shared" si="122"/>
        <v>210</v>
      </c>
      <c r="L727">
        <f t="shared" si="118"/>
        <v>1</v>
      </c>
      <c r="M727">
        <f t="shared" si="123"/>
        <v>210</v>
      </c>
      <c r="N727">
        <f t="shared" si="124"/>
        <v>52.5</v>
      </c>
      <c r="O727">
        <f t="shared" si="125"/>
        <v>157.5</v>
      </c>
      <c r="R727" s="21" t="str">
        <f t="shared" ref="R727:R729" si="129">_xlfn.TEXTJOIN("  by ",TRUE,B726,C726)</f>
        <v>Vanakkathudan Ezhuthi Kondrathu  by Pattukottai Prabakar</v>
      </c>
    </row>
    <row r="728" spans="1:18" ht="18.3" x14ac:dyDescent="0.4">
      <c r="A728">
        <v>6673</v>
      </c>
      <c r="B728" t="s">
        <v>1523</v>
      </c>
      <c r="C728" t="s">
        <v>1186</v>
      </c>
      <c r="D728" t="s">
        <v>1524</v>
      </c>
      <c r="E728" t="s">
        <v>13</v>
      </c>
      <c r="F728" t="s">
        <v>39</v>
      </c>
      <c r="G728">
        <v>120</v>
      </c>
      <c r="H728">
        <v>2</v>
      </c>
      <c r="I728" s="16">
        <f t="shared" si="121"/>
        <v>240</v>
      </c>
      <c r="J728">
        <v>0</v>
      </c>
      <c r="K728">
        <f t="shared" si="122"/>
        <v>0</v>
      </c>
      <c r="L728">
        <f t="shared" si="118"/>
        <v>2</v>
      </c>
      <c r="M728">
        <f t="shared" si="123"/>
        <v>240</v>
      </c>
      <c r="N728">
        <f t="shared" si="124"/>
        <v>60</v>
      </c>
      <c r="O728">
        <f t="shared" si="125"/>
        <v>180</v>
      </c>
      <c r="R728" s="21" t="str">
        <f t="shared" si="129"/>
        <v>Varamaga Nee Varavendum  by Pattukottai Prabakar</v>
      </c>
    </row>
    <row r="729" spans="1:18" ht="18.3" x14ac:dyDescent="0.4">
      <c r="A729">
        <v>8097</v>
      </c>
      <c r="B729" t="s">
        <v>1525</v>
      </c>
      <c r="C729" t="s">
        <v>1186</v>
      </c>
      <c r="D729" t="s">
        <v>1526</v>
      </c>
      <c r="E729" t="s">
        <v>13</v>
      </c>
      <c r="F729" t="s">
        <v>123</v>
      </c>
      <c r="G729">
        <v>100</v>
      </c>
      <c r="H729">
        <v>2</v>
      </c>
      <c r="I729" s="16">
        <f t="shared" si="121"/>
        <v>200</v>
      </c>
      <c r="J729">
        <v>0</v>
      </c>
      <c r="K729">
        <f t="shared" si="122"/>
        <v>0</v>
      </c>
      <c r="L729">
        <f t="shared" si="118"/>
        <v>2</v>
      </c>
      <c r="M729">
        <f t="shared" si="123"/>
        <v>200</v>
      </c>
      <c r="N729">
        <f t="shared" si="124"/>
        <v>50</v>
      </c>
      <c r="O729">
        <f t="shared" si="125"/>
        <v>150</v>
      </c>
      <c r="R729" s="21" t="str">
        <f t="shared" si="129"/>
        <v>Varum Varai Kaathiruppean  by Pattukottai Prabakar</v>
      </c>
    </row>
    <row r="730" spans="1:18" hidden="1" x14ac:dyDescent="0.3">
      <c r="A730">
        <v>11727</v>
      </c>
      <c r="B730" t="s">
        <v>1527</v>
      </c>
      <c r="C730" t="s">
        <v>1186</v>
      </c>
      <c r="D730" t="s">
        <v>1528</v>
      </c>
      <c r="E730" t="s">
        <v>13</v>
      </c>
      <c r="F730" t="s">
        <v>1238</v>
      </c>
      <c r="G730">
        <v>60</v>
      </c>
      <c r="H730">
        <v>2</v>
      </c>
      <c r="I730" s="16">
        <f t="shared" si="121"/>
        <v>120</v>
      </c>
      <c r="J730">
        <v>2</v>
      </c>
      <c r="K730">
        <f t="shared" si="122"/>
        <v>120</v>
      </c>
      <c r="L730">
        <f t="shared" si="118"/>
        <v>0</v>
      </c>
      <c r="M730">
        <f t="shared" si="123"/>
        <v>0</v>
      </c>
      <c r="N730">
        <f t="shared" si="124"/>
        <v>0</v>
      </c>
      <c r="O730">
        <f t="shared" si="125"/>
        <v>0</v>
      </c>
    </row>
    <row r="731" spans="1:18" ht="18.3" x14ac:dyDescent="0.4">
      <c r="A731">
        <v>8094</v>
      </c>
      <c r="B731" t="s">
        <v>1529</v>
      </c>
      <c r="C731" t="s">
        <v>1186</v>
      </c>
      <c r="D731" t="s">
        <v>1530</v>
      </c>
      <c r="E731" t="s">
        <v>13</v>
      </c>
      <c r="F731" t="s">
        <v>123</v>
      </c>
      <c r="G731">
        <v>100</v>
      </c>
      <c r="H731">
        <v>2</v>
      </c>
      <c r="I731" s="16">
        <f t="shared" si="121"/>
        <v>200</v>
      </c>
      <c r="J731">
        <v>0</v>
      </c>
      <c r="K731">
        <f t="shared" si="122"/>
        <v>0</v>
      </c>
      <c r="L731">
        <f t="shared" si="118"/>
        <v>2</v>
      </c>
      <c r="M731">
        <f t="shared" si="123"/>
        <v>200</v>
      </c>
      <c r="N731">
        <f t="shared" si="124"/>
        <v>50</v>
      </c>
      <c r="O731">
        <f t="shared" si="125"/>
        <v>150</v>
      </c>
      <c r="R731" s="21" t="str">
        <f t="shared" ref="R731:R733" si="130">_xlfn.TEXTJOIN("  by ",TRUE,B730,C730)</f>
        <v>Velli Panimalaiyin Meethulaavi...  by Pattukottai Prabakar</v>
      </c>
    </row>
    <row r="732" spans="1:18" ht="18.3" x14ac:dyDescent="0.4">
      <c r="A732">
        <v>6992</v>
      </c>
      <c r="B732" t="s">
        <v>1531</v>
      </c>
      <c r="C732" t="s">
        <v>1186</v>
      </c>
      <c r="D732" t="s">
        <v>1532</v>
      </c>
      <c r="E732" t="s">
        <v>13</v>
      </c>
      <c r="F732" t="s">
        <v>116</v>
      </c>
      <c r="G732">
        <v>110</v>
      </c>
      <c r="H732">
        <v>2</v>
      </c>
      <c r="I732" s="16">
        <f t="shared" si="121"/>
        <v>220</v>
      </c>
      <c r="J732">
        <v>1</v>
      </c>
      <c r="K732">
        <f t="shared" si="122"/>
        <v>110</v>
      </c>
      <c r="L732">
        <f t="shared" si="118"/>
        <v>1</v>
      </c>
      <c r="M732">
        <f t="shared" si="123"/>
        <v>110</v>
      </c>
      <c r="N732">
        <f t="shared" si="124"/>
        <v>27.5</v>
      </c>
      <c r="O732">
        <f t="shared" si="125"/>
        <v>82.5</v>
      </c>
      <c r="R732" s="21" t="str">
        <f t="shared" si="130"/>
        <v>Vendru Vaa Bharath  by Pattukottai Prabakar</v>
      </c>
    </row>
    <row r="733" spans="1:18" ht="18.3" x14ac:dyDescent="0.4">
      <c r="A733">
        <v>11</v>
      </c>
      <c r="B733" t="s">
        <v>1533</v>
      </c>
      <c r="C733" t="s">
        <v>1186</v>
      </c>
      <c r="D733" t="s">
        <v>1534</v>
      </c>
      <c r="E733" t="s">
        <v>13</v>
      </c>
      <c r="F733" t="s">
        <v>116</v>
      </c>
      <c r="G733">
        <v>170</v>
      </c>
      <c r="H733">
        <v>2</v>
      </c>
      <c r="I733" s="16">
        <f t="shared" si="121"/>
        <v>340</v>
      </c>
      <c r="J733">
        <v>0</v>
      </c>
      <c r="K733">
        <f t="shared" si="122"/>
        <v>0</v>
      </c>
      <c r="L733">
        <f t="shared" si="118"/>
        <v>2</v>
      </c>
      <c r="M733">
        <f t="shared" si="123"/>
        <v>340</v>
      </c>
      <c r="N733">
        <f t="shared" si="124"/>
        <v>85</v>
      </c>
      <c r="O733">
        <f t="shared" si="125"/>
        <v>255</v>
      </c>
      <c r="R733" s="21" t="str">
        <f t="shared" si="130"/>
        <v>Vetri Allathu Vetri  by Pattukottai Prabakar</v>
      </c>
    </row>
    <row r="734" spans="1:18" hidden="1" x14ac:dyDescent="0.3">
      <c r="A734">
        <v>964</v>
      </c>
      <c r="B734" t="s">
        <v>678</v>
      </c>
      <c r="C734" t="s">
        <v>1186</v>
      </c>
      <c r="D734" t="s">
        <v>1535</v>
      </c>
      <c r="E734" t="s">
        <v>13</v>
      </c>
      <c r="F734" t="s">
        <v>44</v>
      </c>
      <c r="G734">
        <v>200</v>
      </c>
      <c r="H734">
        <v>4</v>
      </c>
      <c r="I734" s="16">
        <f t="shared" si="121"/>
        <v>800</v>
      </c>
      <c r="J734">
        <v>4</v>
      </c>
      <c r="K734">
        <f t="shared" si="122"/>
        <v>800</v>
      </c>
      <c r="L734">
        <f t="shared" si="118"/>
        <v>0</v>
      </c>
      <c r="M734">
        <f t="shared" si="123"/>
        <v>0</v>
      </c>
      <c r="N734">
        <f t="shared" si="124"/>
        <v>0</v>
      </c>
      <c r="O734">
        <f t="shared" si="125"/>
        <v>0</v>
      </c>
    </row>
    <row r="735" spans="1:18" ht="18.3" x14ac:dyDescent="0.4">
      <c r="A735">
        <v>5091</v>
      </c>
      <c r="B735" t="s">
        <v>1536</v>
      </c>
      <c r="C735" t="s">
        <v>1186</v>
      </c>
      <c r="D735" t="s">
        <v>1537</v>
      </c>
      <c r="E735" t="s">
        <v>13</v>
      </c>
      <c r="F735" t="s">
        <v>44</v>
      </c>
      <c r="G735">
        <v>340</v>
      </c>
      <c r="H735">
        <v>2</v>
      </c>
      <c r="I735" s="16">
        <f t="shared" si="121"/>
        <v>680</v>
      </c>
      <c r="J735">
        <v>1</v>
      </c>
      <c r="K735">
        <f t="shared" si="122"/>
        <v>340</v>
      </c>
      <c r="L735">
        <f t="shared" si="118"/>
        <v>1</v>
      </c>
      <c r="M735">
        <f t="shared" si="123"/>
        <v>340</v>
      </c>
      <c r="N735">
        <f t="shared" si="124"/>
        <v>85</v>
      </c>
      <c r="O735">
        <f t="shared" si="125"/>
        <v>255</v>
      </c>
      <c r="R735" s="21" t="str">
        <f t="shared" ref="R735:R736" si="131">_xlfn.TEXTJOIN("  by ",TRUE,B734,C734)</f>
        <v>Vettai  by Pattukottai Prabakar</v>
      </c>
    </row>
    <row r="736" spans="1:18" ht="18.3" x14ac:dyDescent="0.4">
      <c r="A736">
        <v>8047</v>
      </c>
      <c r="B736" t="s">
        <v>1538</v>
      </c>
      <c r="C736" t="s">
        <v>1186</v>
      </c>
      <c r="D736" t="s">
        <v>1539</v>
      </c>
      <c r="E736" t="s">
        <v>13</v>
      </c>
      <c r="F736" t="s">
        <v>123</v>
      </c>
      <c r="G736">
        <v>130</v>
      </c>
      <c r="H736">
        <v>2</v>
      </c>
      <c r="I736" s="16">
        <f t="shared" si="121"/>
        <v>260</v>
      </c>
      <c r="J736">
        <v>1</v>
      </c>
      <c r="K736">
        <f t="shared" si="122"/>
        <v>130</v>
      </c>
      <c r="L736">
        <f t="shared" si="118"/>
        <v>1</v>
      </c>
      <c r="M736">
        <f t="shared" si="123"/>
        <v>130</v>
      </c>
      <c r="N736">
        <f t="shared" si="124"/>
        <v>32.5</v>
      </c>
      <c r="O736">
        <f t="shared" si="125"/>
        <v>97.5</v>
      </c>
      <c r="R736" s="21" t="str">
        <f t="shared" si="131"/>
        <v>Vettu Kuthu... Kanne, Kaadhali!  by Pattukottai Prabakar</v>
      </c>
    </row>
    <row r="737" spans="1:18" hidden="1" x14ac:dyDescent="0.3">
      <c r="A737">
        <v>6983</v>
      </c>
      <c r="B737" t="s">
        <v>1540</v>
      </c>
      <c r="C737" t="s">
        <v>1186</v>
      </c>
      <c r="D737" t="s">
        <v>1541</v>
      </c>
      <c r="E737" t="s">
        <v>13</v>
      </c>
      <c r="F737" t="s">
        <v>116</v>
      </c>
      <c r="G737">
        <v>100</v>
      </c>
      <c r="H737">
        <v>2</v>
      </c>
      <c r="I737" s="16">
        <f t="shared" si="121"/>
        <v>200</v>
      </c>
      <c r="J737">
        <v>2</v>
      </c>
      <c r="K737">
        <f t="shared" si="122"/>
        <v>200</v>
      </c>
      <c r="L737">
        <f t="shared" si="118"/>
        <v>0</v>
      </c>
      <c r="M737">
        <f t="shared" si="123"/>
        <v>0</v>
      </c>
      <c r="N737">
        <f t="shared" si="124"/>
        <v>0</v>
      </c>
      <c r="O737">
        <f t="shared" si="125"/>
        <v>0</v>
      </c>
    </row>
    <row r="738" spans="1:18" ht="18.3" x14ac:dyDescent="0.4">
      <c r="A738">
        <v>3908</v>
      </c>
      <c r="B738" t="s">
        <v>1542</v>
      </c>
      <c r="C738" t="s">
        <v>1186</v>
      </c>
      <c r="D738" t="s">
        <v>1543</v>
      </c>
      <c r="E738" t="s">
        <v>13</v>
      </c>
      <c r="F738" t="s">
        <v>116</v>
      </c>
      <c r="G738">
        <v>100</v>
      </c>
      <c r="H738">
        <v>2</v>
      </c>
      <c r="I738" s="16">
        <f t="shared" si="121"/>
        <v>200</v>
      </c>
      <c r="J738">
        <v>0</v>
      </c>
      <c r="K738">
        <f t="shared" si="122"/>
        <v>0</v>
      </c>
      <c r="L738">
        <f t="shared" si="118"/>
        <v>2</v>
      </c>
      <c r="M738">
        <f t="shared" si="123"/>
        <v>200</v>
      </c>
      <c r="N738">
        <f t="shared" si="124"/>
        <v>50</v>
      </c>
      <c r="O738">
        <f t="shared" si="125"/>
        <v>150</v>
      </c>
      <c r="R738" s="21" t="str">
        <f t="shared" ref="R738:R739" si="132">_xlfn.TEXTJOIN("  by ",TRUE,B737,C737)</f>
        <v>Vilaga Vilaga Vibareetham  by Pattukottai Prabakar</v>
      </c>
    </row>
    <row r="739" spans="1:18" ht="18.3" x14ac:dyDescent="0.4">
      <c r="A739">
        <v>4577</v>
      </c>
      <c r="B739" t="s">
        <v>1544</v>
      </c>
      <c r="C739" t="s">
        <v>1186</v>
      </c>
      <c r="D739" t="s">
        <v>1545</v>
      </c>
      <c r="E739" t="s">
        <v>13</v>
      </c>
      <c r="F739" t="s">
        <v>44</v>
      </c>
      <c r="G739">
        <v>100</v>
      </c>
      <c r="H739">
        <v>2</v>
      </c>
      <c r="I739" s="16">
        <f t="shared" si="121"/>
        <v>200</v>
      </c>
      <c r="J739">
        <v>1</v>
      </c>
      <c r="K739">
        <f t="shared" si="122"/>
        <v>100</v>
      </c>
      <c r="L739">
        <f t="shared" si="118"/>
        <v>1</v>
      </c>
      <c r="M739">
        <f t="shared" si="123"/>
        <v>100</v>
      </c>
      <c r="N739">
        <f t="shared" si="124"/>
        <v>25</v>
      </c>
      <c r="O739">
        <f t="shared" si="125"/>
        <v>75</v>
      </c>
      <c r="R739" s="21" t="str">
        <f t="shared" si="132"/>
        <v>Vilayaga Nee Vendum  by Pattukottai Prabakar</v>
      </c>
    </row>
    <row r="740" spans="1:18" hidden="1" x14ac:dyDescent="0.3">
      <c r="A740">
        <v>5268</v>
      </c>
      <c r="B740" t="s">
        <v>1546</v>
      </c>
      <c r="C740" t="s">
        <v>1186</v>
      </c>
      <c r="D740" t="s">
        <v>1547</v>
      </c>
      <c r="E740" t="s">
        <v>13</v>
      </c>
      <c r="F740" t="s">
        <v>116</v>
      </c>
      <c r="G740">
        <v>90</v>
      </c>
      <c r="H740">
        <v>2</v>
      </c>
      <c r="I740" s="16">
        <f t="shared" si="121"/>
        <v>180</v>
      </c>
      <c r="J740">
        <v>2</v>
      </c>
      <c r="K740">
        <f t="shared" si="122"/>
        <v>180</v>
      </c>
      <c r="L740">
        <f t="shared" ref="L740:L803" si="133">H740-J740</f>
        <v>0</v>
      </c>
      <c r="M740">
        <f t="shared" si="123"/>
        <v>0</v>
      </c>
      <c r="N740">
        <f t="shared" si="124"/>
        <v>0</v>
      </c>
      <c r="O740">
        <f t="shared" si="125"/>
        <v>0</v>
      </c>
    </row>
    <row r="741" spans="1:18" ht="18.3" x14ac:dyDescent="0.4">
      <c r="A741">
        <v>8069</v>
      </c>
      <c r="B741" t="s">
        <v>1548</v>
      </c>
      <c r="C741" t="s">
        <v>1186</v>
      </c>
      <c r="D741" t="s">
        <v>1549</v>
      </c>
      <c r="E741" t="s">
        <v>13</v>
      </c>
      <c r="F741" t="s">
        <v>123</v>
      </c>
      <c r="G741">
        <v>100</v>
      </c>
      <c r="H741">
        <v>2</v>
      </c>
      <c r="I741" s="16">
        <f t="shared" si="121"/>
        <v>200</v>
      </c>
      <c r="J741">
        <v>1</v>
      </c>
      <c r="K741">
        <f t="shared" si="122"/>
        <v>100</v>
      </c>
      <c r="L741">
        <f t="shared" si="133"/>
        <v>1</v>
      </c>
      <c r="M741">
        <f t="shared" si="123"/>
        <v>100</v>
      </c>
      <c r="N741">
        <f t="shared" si="124"/>
        <v>25</v>
      </c>
      <c r="O741">
        <f t="shared" si="125"/>
        <v>75</v>
      </c>
      <c r="R741" s="21" t="str">
        <f t="shared" ref="R741:R742" si="134">_xlfn.TEXTJOIN("  by ",TRUE,B740,C740)</f>
        <v>Wellington Vibareetham  by Pattukottai Prabakar</v>
      </c>
    </row>
    <row r="742" spans="1:18" ht="18.3" x14ac:dyDescent="0.4">
      <c r="A742">
        <v>8073</v>
      </c>
      <c r="B742" t="s">
        <v>1550</v>
      </c>
      <c r="C742" t="s">
        <v>1186</v>
      </c>
      <c r="D742" t="s">
        <v>1551</v>
      </c>
      <c r="E742" t="s">
        <v>13</v>
      </c>
      <c r="F742" t="s">
        <v>123</v>
      </c>
      <c r="G742">
        <v>110</v>
      </c>
      <c r="H742">
        <v>2</v>
      </c>
      <c r="I742" s="16">
        <f t="shared" si="121"/>
        <v>220</v>
      </c>
      <c r="J742">
        <v>1</v>
      </c>
      <c r="K742">
        <f t="shared" si="122"/>
        <v>110</v>
      </c>
      <c r="L742">
        <f t="shared" si="133"/>
        <v>1</v>
      </c>
      <c r="M742">
        <f t="shared" si="123"/>
        <v>110</v>
      </c>
      <c r="N742">
        <f t="shared" si="124"/>
        <v>27.5</v>
      </c>
      <c r="O742">
        <f t="shared" si="125"/>
        <v>82.5</v>
      </c>
      <c r="R742" s="21" t="str">
        <f t="shared" si="134"/>
        <v>Yerkanave Sonnapadi  by Pattukottai Prabakar</v>
      </c>
    </row>
    <row r="743" spans="1:18" hidden="1" x14ac:dyDescent="0.3">
      <c r="A743">
        <v>3604</v>
      </c>
      <c r="B743" t="s">
        <v>1552</v>
      </c>
      <c r="C743" t="s">
        <v>1186</v>
      </c>
      <c r="D743" t="s">
        <v>1553</v>
      </c>
      <c r="E743" t="s">
        <v>13</v>
      </c>
      <c r="F743" t="s">
        <v>116</v>
      </c>
      <c r="G743">
        <v>90</v>
      </c>
      <c r="H743">
        <v>2</v>
      </c>
      <c r="I743" s="16">
        <f t="shared" si="121"/>
        <v>180</v>
      </c>
      <c r="J743">
        <v>2</v>
      </c>
      <c r="K743">
        <f t="shared" si="122"/>
        <v>180</v>
      </c>
      <c r="L743">
        <f t="shared" si="133"/>
        <v>0</v>
      </c>
      <c r="M743">
        <f t="shared" si="123"/>
        <v>0</v>
      </c>
      <c r="N743">
        <f t="shared" si="124"/>
        <v>0</v>
      </c>
      <c r="O743">
        <f t="shared" si="125"/>
        <v>0</v>
      </c>
    </row>
    <row r="744" spans="1:18" hidden="1" x14ac:dyDescent="0.3">
      <c r="A744">
        <v>8963</v>
      </c>
      <c r="B744" t="s">
        <v>1554</v>
      </c>
      <c r="C744" t="s">
        <v>1555</v>
      </c>
      <c r="D744" t="s">
        <v>1556</v>
      </c>
      <c r="E744" t="s">
        <v>13</v>
      </c>
      <c r="F744" t="s">
        <v>44</v>
      </c>
      <c r="G744">
        <v>210</v>
      </c>
      <c r="H744">
        <v>2</v>
      </c>
      <c r="I744" s="16">
        <f t="shared" si="121"/>
        <v>420</v>
      </c>
      <c r="J744">
        <v>2</v>
      </c>
      <c r="K744">
        <f t="shared" si="122"/>
        <v>420</v>
      </c>
      <c r="L744">
        <f t="shared" si="133"/>
        <v>0</v>
      </c>
      <c r="M744">
        <f t="shared" si="123"/>
        <v>0</v>
      </c>
      <c r="N744">
        <f t="shared" si="124"/>
        <v>0</v>
      </c>
      <c r="O744">
        <f t="shared" si="125"/>
        <v>0</v>
      </c>
    </row>
    <row r="745" spans="1:18" ht="18.3" x14ac:dyDescent="0.4">
      <c r="A745">
        <v>10429</v>
      </c>
      <c r="B745" t="s">
        <v>1557</v>
      </c>
      <c r="C745" t="s">
        <v>1555</v>
      </c>
      <c r="D745" t="s">
        <v>1558</v>
      </c>
      <c r="E745" t="s">
        <v>13</v>
      </c>
      <c r="F745" t="s">
        <v>44</v>
      </c>
      <c r="G745">
        <v>290</v>
      </c>
      <c r="H745">
        <v>2</v>
      </c>
      <c r="I745" s="16">
        <f t="shared" si="121"/>
        <v>580</v>
      </c>
      <c r="J745">
        <v>0</v>
      </c>
      <c r="K745">
        <f t="shared" si="122"/>
        <v>0</v>
      </c>
      <c r="L745">
        <f t="shared" si="133"/>
        <v>2</v>
      </c>
      <c r="M745">
        <f t="shared" si="123"/>
        <v>580</v>
      </c>
      <c r="N745">
        <f t="shared" si="124"/>
        <v>145</v>
      </c>
      <c r="O745">
        <f t="shared" si="125"/>
        <v>435</v>
      </c>
      <c r="R745" s="21" t="str">
        <f t="shared" ref="R745:R747" si="135">_xlfn.TEXTJOIN("  by ",TRUE,B744,C744)</f>
        <v>Indiya Samudhaya Varalatril Penmai  by Rajam Krishnan</v>
      </c>
    </row>
    <row r="746" spans="1:18" ht="18.3" x14ac:dyDescent="0.4">
      <c r="A746">
        <v>9023</v>
      </c>
      <c r="B746" t="s">
        <v>1559</v>
      </c>
      <c r="C746" t="s">
        <v>1555</v>
      </c>
      <c r="D746" t="s">
        <v>1560</v>
      </c>
      <c r="E746" t="s">
        <v>13</v>
      </c>
      <c r="F746" t="s">
        <v>1561</v>
      </c>
      <c r="G746">
        <v>280</v>
      </c>
      <c r="H746">
        <v>2</v>
      </c>
      <c r="I746" s="16">
        <f t="shared" si="121"/>
        <v>560</v>
      </c>
      <c r="J746">
        <v>1</v>
      </c>
      <c r="K746">
        <f t="shared" si="122"/>
        <v>280</v>
      </c>
      <c r="L746">
        <f t="shared" si="133"/>
        <v>1</v>
      </c>
      <c r="M746">
        <f t="shared" si="123"/>
        <v>280</v>
      </c>
      <c r="N746">
        <f t="shared" si="124"/>
        <v>70</v>
      </c>
      <c r="O746">
        <f t="shared" si="125"/>
        <v>210</v>
      </c>
      <c r="R746" s="21" t="str">
        <f t="shared" si="135"/>
        <v>Karippu Manikal  by Rajam Krishnan</v>
      </c>
    </row>
    <row r="747" spans="1:18" ht="18.3" x14ac:dyDescent="0.4">
      <c r="A747">
        <v>10424</v>
      </c>
      <c r="B747" t="s">
        <v>1562</v>
      </c>
      <c r="C747" t="s">
        <v>1555</v>
      </c>
      <c r="D747" t="s">
        <v>1563</v>
      </c>
      <c r="E747" t="s">
        <v>13</v>
      </c>
      <c r="F747" t="s">
        <v>44</v>
      </c>
      <c r="G747">
        <v>160</v>
      </c>
      <c r="H747">
        <v>2</v>
      </c>
      <c r="I747" s="16">
        <f t="shared" si="121"/>
        <v>320</v>
      </c>
      <c r="J747">
        <v>1</v>
      </c>
      <c r="K747">
        <f t="shared" si="122"/>
        <v>160</v>
      </c>
      <c r="L747">
        <f t="shared" si="133"/>
        <v>1</v>
      </c>
      <c r="M747">
        <f t="shared" si="123"/>
        <v>160</v>
      </c>
      <c r="N747">
        <f t="shared" si="124"/>
        <v>40</v>
      </c>
      <c r="O747">
        <f t="shared" si="125"/>
        <v>120</v>
      </c>
      <c r="R747" s="21" t="str">
        <f t="shared" si="135"/>
        <v>Kodugalum Kolangalum  by Rajam Krishnan</v>
      </c>
    </row>
    <row r="748" spans="1:18" hidden="1" x14ac:dyDescent="0.3">
      <c r="A748">
        <v>8942</v>
      </c>
      <c r="B748" t="s">
        <v>1564</v>
      </c>
      <c r="C748" t="s">
        <v>1555</v>
      </c>
      <c r="D748" t="s">
        <v>1565</v>
      </c>
      <c r="E748" t="s">
        <v>13</v>
      </c>
      <c r="F748" t="s">
        <v>44</v>
      </c>
      <c r="G748">
        <v>420</v>
      </c>
      <c r="H748">
        <v>2</v>
      </c>
      <c r="I748" s="16">
        <f t="shared" si="121"/>
        <v>840</v>
      </c>
      <c r="J748">
        <v>2</v>
      </c>
      <c r="K748">
        <f t="shared" si="122"/>
        <v>840</v>
      </c>
      <c r="L748">
        <f t="shared" si="133"/>
        <v>0</v>
      </c>
      <c r="M748">
        <f t="shared" si="123"/>
        <v>0</v>
      </c>
      <c r="N748">
        <f t="shared" si="124"/>
        <v>0</v>
      </c>
      <c r="O748">
        <f t="shared" si="125"/>
        <v>0</v>
      </c>
    </row>
    <row r="749" spans="1:18" ht="18.3" x14ac:dyDescent="0.4">
      <c r="A749">
        <v>1852</v>
      </c>
      <c r="B749" t="s">
        <v>1566</v>
      </c>
      <c r="C749" t="s">
        <v>1555</v>
      </c>
      <c r="D749" t="s">
        <v>1567</v>
      </c>
      <c r="E749" t="s">
        <v>13</v>
      </c>
      <c r="F749" t="s">
        <v>44</v>
      </c>
      <c r="G749">
        <v>150</v>
      </c>
      <c r="H749">
        <v>2</v>
      </c>
      <c r="I749" s="16">
        <f t="shared" si="121"/>
        <v>300</v>
      </c>
      <c r="J749">
        <v>1</v>
      </c>
      <c r="K749">
        <f t="shared" si="122"/>
        <v>150</v>
      </c>
      <c r="L749">
        <f t="shared" si="133"/>
        <v>1</v>
      </c>
      <c r="M749">
        <f t="shared" si="123"/>
        <v>150</v>
      </c>
      <c r="N749">
        <f t="shared" si="124"/>
        <v>37.5</v>
      </c>
      <c r="O749">
        <f t="shared" si="125"/>
        <v>112.5</v>
      </c>
      <c r="R749" s="21" t="str">
        <f>_xlfn.TEXTJOIN("  by ",TRUE,B748,C748)</f>
        <v>Roja Ithazhgal  by Rajam Krishnan</v>
      </c>
    </row>
    <row r="750" spans="1:18" hidden="1" x14ac:dyDescent="0.3">
      <c r="A750">
        <v>4204</v>
      </c>
      <c r="B750" t="s">
        <v>1568</v>
      </c>
      <c r="C750" t="s">
        <v>1555</v>
      </c>
      <c r="D750" t="s">
        <v>1569</v>
      </c>
      <c r="E750" t="s">
        <v>13</v>
      </c>
      <c r="F750" t="s">
        <v>44</v>
      </c>
      <c r="G750">
        <v>380</v>
      </c>
      <c r="H750">
        <v>2</v>
      </c>
      <c r="I750" s="16">
        <f t="shared" si="121"/>
        <v>760</v>
      </c>
      <c r="J750">
        <v>2</v>
      </c>
      <c r="K750">
        <f t="shared" si="122"/>
        <v>760</v>
      </c>
      <c r="L750">
        <f t="shared" si="133"/>
        <v>0</v>
      </c>
      <c r="M750">
        <f t="shared" si="123"/>
        <v>0</v>
      </c>
      <c r="N750">
        <f t="shared" si="124"/>
        <v>0</v>
      </c>
      <c r="O750">
        <f t="shared" si="125"/>
        <v>0</v>
      </c>
    </row>
    <row r="751" spans="1:18" ht="18.3" x14ac:dyDescent="0.4">
      <c r="A751">
        <v>4099</v>
      </c>
      <c r="B751" t="s">
        <v>1570</v>
      </c>
      <c r="C751" t="s">
        <v>1555</v>
      </c>
      <c r="D751" t="s">
        <v>1571</v>
      </c>
      <c r="E751" t="s">
        <v>13</v>
      </c>
      <c r="F751" t="s">
        <v>44</v>
      </c>
      <c r="G751">
        <v>320</v>
      </c>
      <c r="H751">
        <v>2</v>
      </c>
      <c r="I751" s="16">
        <f t="shared" si="121"/>
        <v>640</v>
      </c>
      <c r="J751">
        <v>0</v>
      </c>
      <c r="K751">
        <f t="shared" si="122"/>
        <v>0</v>
      </c>
      <c r="L751">
        <f t="shared" si="133"/>
        <v>2</v>
      </c>
      <c r="M751">
        <f t="shared" si="123"/>
        <v>640</v>
      </c>
      <c r="N751">
        <f t="shared" si="124"/>
        <v>160</v>
      </c>
      <c r="O751">
        <f t="shared" si="125"/>
        <v>480</v>
      </c>
      <c r="R751" s="21" t="str">
        <f>_xlfn.TEXTJOIN("  by ",TRUE,B750,C750)</f>
        <v>Utharakaandam  by Rajam Krishnan</v>
      </c>
    </row>
    <row r="752" spans="1:18" hidden="1" x14ac:dyDescent="0.3">
      <c r="A752">
        <v>1863</v>
      </c>
      <c r="B752" t="s">
        <v>1572</v>
      </c>
      <c r="C752" t="s">
        <v>1555</v>
      </c>
      <c r="D752" t="s">
        <v>1573</v>
      </c>
      <c r="E752" t="s">
        <v>13</v>
      </c>
      <c r="F752" t="s">
        <v>44</v>
      </c>
      <c r="G752">
        <v>140</v>
      </c>
      <c r="H752">
        <v>2</v>
      </c>
      <c r="I752" s="16">
        <f t="shared" si="121"/>
        <v>280</v>
      </c>
      <c r="J752">
        <v>2</v>
      </c>
      <c r="K752">
        <f t="shared" si="122"/>
        <v>280</v>
      </c>
      <c r="L752">
        <f t="shared" si="133"/>
        <v>0</v>
      </c>
      <c r="M752">
        <f t="shared" si="123"/>
        <v>0</v>
      </c>
      <c r="N752">
        <f t="shared" si="124"/>
        <v>0</v>
      </c>
      <c r="O752">
        <f t="shared" si="125"/>
        <v>0</v>
      </c>
    </row>
    <row r="753" spans="1:18" ht="18.3" x14ac:dyDescent="0.4">
      <c r="A753">
        <v>8170</v>
      </c>
      <c r="B753" t="s">
        <v>1574</v>
      </c>
      <c r="C753" t="s">
        <v>1575</v>
      </c>
      <c r="D753" t="s">
        <v>1576</v>
      </c>
      <c r="E753" t="s">
        <v>13</v>
      </c>
      <c r="F753" t="s">
        <v>14</v>
      </c>
      <c r="G753">
        <v>120</v>
      </c>
      <c r="H753">
        <v>2</v>
      </c>
      <c r="I753" s="16">
        <f t="shared" si="121"/>
        <v>240</v>
      </c>
      <c r="J753">
        <v>1</v>
      </c>
      <c r="K753">
        <f t="shared" si="122"/>
        <v>120</v>
      </c>
      <c r="L753">
        <f t="shared" si="133"/>
        <v>1</v>
      </c>
      <c r="M753">
        <f t="shared" si="123"/>
        <v>120</v>
      </c>
      <c r="N753">
        <f t="shared" si="124"/>
        <v>30</v>
      </c>
      <c r="O753">
        <f t="shared" si="125"/>
        <v>90</v>
      </c>
      <c r="R753" s="21" t="str">
        <f>_xlfn.TEXTJOIN("  by ",TRUE,B752,C752)</f>
        <v>Verukku Neer  by Rajam Krishnan</v>
      </c>
    </row>
    <row r="754" spans="1:18" hidden="1" x14ac:dyDescent="0.3">
      <c r="A754">
        <v>9596</v>
      </c>
      <c r="B754" t="s">
        <v>1577</v>
      </c>
      <c r="C754" t="s">
        <v>1575</v>
      </c>
      <c r="D754" t="s">
        <v>1578</v>
      </c>
      <c r="E754" t="s">
        <v>13</v>
      </c>
      <c r="F754" t="s">
        <v>116</v>
      </c>
      <c r="G754">
        <v>150</v>
      </c>
      <c r="H754">
        <v>2</v>
      </c>
      <c r="I754" s="16">
        <f t="shared" si="121"/>
        <v>300</v>
      </c>
      <c r="J754">
        <v>2</v>
      </c>
      <c r="K754">
        <f t="shared" si="122"/>
        <v>300</v>
      </c>
      <c r="L754">
        <f t="shared" si="133"/>
        <v>0</v>
      </c>
      <c r="M754">
        <f t="shared" si="123"/>
        <v>0</v>
      </c>
      <c r="N754">
        <f t="shared" si="124"/>
        <v>0</v>
      </c>
      <c r="O754">
        <f t="shared" si="125"/>
        <v>0</v>
      </c>
    </row>
    <row r="755" spans="1:18" hidden="1" x14ac:dyDescent="0.3">
      <c r="A755">
        <v>9601</v>
      </c>
      <c r="B755" t="s">
        <v>1579</v>
      </c>
      <c r="C755" t="s">
        <v>1575</v>
      </c>
      <c r="D755" t="s">
        <v>1580</v>
      </c>
      <c r="E755" t="s">
        <v>13</v>
      </c>
      <c r="F755" t="s">
        <v>116</v>
      </c>
      <c r="G755">
        <v>190</v>
      </c>
      <c r="H755">
        <v>2</v>
      </c>
      <c r="I755" s="16">
        <f t="shared" si="121"/>
        <v>380</v>
      </c>
      <c r="J755">
        <v>2</v>
      </c>
      <c r="K755">
        <f t="shared" si="122"/>
        <v>380</v>
      </c>
      <c r="L755">
        <f t="shared" si="133"/>
        <v>0</v>
      </c>
      <c r="M755">
        <f t="shared" si="123"/>
        <v>0</v>
      </c>
      <c r="N755">
        <f t="shared" si="124"/>
        <v>0</v>
      </c>
      <c r="O755">
        <f t="shared" si="125"/>
        <v>0</v>
      </c>
    </row>
    <row r="756" spans="1:18" ht="18.3" x14ac:dyDescent="0.4">
      <c r="A756">
        <v>4904</v>
      </c>
      <c r="B756" t="s">
        <v>1581</v>
      </c>
      <c r="C756" t="s">
        <v>1582</v>
      </c>
      <c r="D756" t="s">
        <v>1583</v>
      </c>
      <c r="E756" t="s">
        <v>13</v>
      </c>
      <c r="F756" t="s">
        <v>116</v>
      </c>
      <c r="G756">
        <v>100</v>
      </c>
      <c r="H756">
        <v>8</v>
      </c>
      <c r="I756" s="16">
        <f t="shared" si="121"/>
        <v>800</v>
      </c>
      <c r="J756">
        <v>2</v>
      </c>
      <c r="K756">
        <f t="shared" si="122"/>
        <v>200</v>
      </c>
      <c r="L756">
        <f t="shared" si="133"/>
        <v>6</v>
      </c>
      <c r="M756">
        <f t="shared" si="123"/>
        <v>600</v>
      </c>
      <c r="N756">
        <f t="shared" si="124"/>
        <v>150</v>
      </c>
      <c r="O756">
        <f t="shared" si="125"/>
        <v>450</v>
      </c>
      <c r="R756" s="21" t="str">
        <f t="shared" ref="R756:R762" si="136">_xlfn.TEXTJOIN("  by ",TRUE,B755,C755)</f>
        <v>Rayilil Vantha Mayil  by Rajendrakumar</v>
      </c>
    </row>
    <row r="757" spans="1:18" ht="18.3" x14ac:dyDescent="0.4">
      <c r="A757">
        <v>1607</v>
      </c>
      <c r="B757" t="s">
        <v>1584</v>
      </c>
      <c r="C757" t="s">
        <v>1582</v>
      </c>
      <c r="D757" t="s">
        <v>1585</v>
      </c>
      <c r="E757" t="s">
        <v>13</v>
      </c>
      <c r="F757" t="s">
        <v>123</v>
      </c>
      <c r="G757">
        <v>220</v>
      </c>
      <c r="H757">
        <v>8</v>
      </c>
      <c r="I757" s="16">
        <f t="shared" si="121"/>
        <v>1760</v>
      </c>
      <c r="J757">
        <v>4</v>
      </c>
      <c r="K757">
        <f t="shared" si="122"/>
        <v>880</v>
      </c>
      <c r="L757">
        <f t="shared" si="133"/>
        <v>4</v>
      </c>
      <c r="M757">
        <f t="shared" si="123"/>
        <v>880</v>
      </c>
      <c r="N757">
        <f t="shared" si="124"/>
        <v>220</v>
      </c>
      <c r="O757">
        <f t="shared" si="125"/>
        <v>660</v>
      </c>
      <c r="R757" s="21" t="str">
        <f t="shared" si="136"/>
        <v>23 - vathu Jannal  by Rajeshkumar</v>
      </c>
    </row>
    <row r="758" spans="1:18" ht="18.3" x14ac:dyDescent="0.4">
      <c r="A758">
        <v>4241</v>
      </c>
      <c r="B758" t="s">
        <v>1586</v>
      </c>
      <c r="C758" t="s">
        <v>1582</v>
      </c>
      <c r="D758" t="s">
        <v>1587</v>
      </c>
      <c r="E758" t="s">
        <v>13</v>
      </c>
      <c r="F758" t="s">
        <v>116</v>
      </c>
      <c r="G758">
        <v>100</v>
      </c>
      <c r="H758">
        <v>8</v>
      </c>
      <c r="I758" s="16">
        <f t="shared" si="121"/>
        <v>800</v>
      </c>
      <c r="J758">
        <v>6</v>
      </c>
      <c r="K758">
        <f t="shared" si="122"/>
        <v>600</v>
      </c>
      <c r="L758">
        <f t="shared" si="133"/>
        <v>2</v>
      </c>
      <c r="M758">
        <f t="shared" si="123"/>
        <v>200</v>
      </c>
      <c r="N758">
        <f t="shared" si="124"/>
        <v>50</v>
      </c>
      <c r="O758">
        <f t="shared" si="125"/>
        <v>150</v>
      </c>
      <c r="R758" s="21" t="str">
        <f t="shared" si="136"/>
        <v>Abaayam! Thodu!  by Rajeshkumar</v>
      </c>
    </row>
    <row r="759" spans="1:18" ht="18.3" x14ac:dyDescent="0.4">
      <c r="A759">
        <v>2253</v>
      </c>
      <c r="B759" t="s">
        <v>1588</v>
      </c>
      <c r="C759" t="s">
        <v>1582</v>
      </c>
      <c r="D759" t="s">
        <v>1589</v>
      </c>
      <c r="E759" t="s">
        <v>13</v>
      </c>
      <c r="F759" t="s">
        <v>123</v>
      </c>
      <c r="G759">
        <v>130</v>
      </c>
      <c r="H759">
        <v>8</v>
      </c>
      <c r="I759" s="16">
        <f t="shared" si="121"/>
        <v>1040</v>
      </c>
      <c r="J759">
        <v>5</v>
      </c>
      <c r="K759">
        <f t="shared" si="122"/>
        <v>650</v>
      </c>
      <c r="L759">
        <f t="shared" si="133"/>
        <v>3</v>
      </c>
      <c r="M759">
        <f t="shared" si="123"/>
        <v>390</v>
      </c>
      <c r="N759">
        <f t="shared" si="124"/>
        <v>97.5</v>
      </c>
      <c r="O759">
        <f t="shared" si="125"/>
        <v>292.5</v>
      </c>
      <c r="R759" s="21" t="str">
        <f t="shared" si="136"/>
        <v>Advance Anjali  by Rajeshkumar</v>
      </c>
    </row>
    <row r="760" spans="1:18" ht="18.3" x14ac:dyDescent="0.4">
      <c r="A760">
        <v>4602</v>
      </c>
      <c r="B760" t="s">
        <v>1590</v>
      </c>
      <c r="C760" t="s">
        <v>1582</v>
      </c>
      <c r="D760" t="s">
        <v>1591</v>
      </c>
      <c r="E760" t="s">
        <v>13</v>
      </c>
      <c r="F760" t="s">
        <v>116</v>
      </c>
      <c r="G760">
        <v>90</v>
      </c>
      <c r="H760">
        <v>8</v>
      </c>
      <c r="I760" s="16">
        <f t="shared" si="121"/>
        <v>720</v>
      </c>
      <c r="J760">
        <v>2</v>
      </c>
      <c r="K760">
        <f t="shared" si="122"/>
        <v>180</v>
      </c>
      <c r="L760">
        <f t="shared" si="133"/>
        <v>6</v>
      </c>
      <c r="M760">
        <f t="shared" si="123"/>
        <v>540</v>
      </c>
      <c r="N760">
        <f t="shared" si="124"/>
        <v>135</v>
      </c>
      <c r="O760">
        <f t="shared" si="125"/>
        <v>405</v>
      </c>
      <c r="R760" s="21" t="str">
        <f t="shared" si="136"/>
        <v>Ange... Inge... Enge...?  by Rajeshkumar</v>
      </c>
    </row>
    <row r="761" spans="1:18" ht="18.3" x14ac:dyDescent="0.4">
      <c r="A761">
        <v>3316</v>
      </c>
      <c r="B761" t="s">
        <v>1592</v>
      </c>
      <c r="C761" t="s">
        <v>1582</v>
      </c>
      <c r="D761" t="s">
        <v>1593</v>
      </c>
      <c r="E761" t="s">
        <v>13</v>
      </c>
      <c r="F761" t="s">
        <v>116</v>
      </c>
      <c r="G761">
        <v>110</v>
      </c>
      <c r="H761">
        <v>8</v>
      </c>
      <c r="I761" s="16">
        <f t="shared" si="121"/>
        <v>880</v>
      </c>
      <c r="J761">
        <v>2</v>
      </c>
      <c r="K761">
        <f t="shared" si="122"/>
        <v>220</v>
      </c>
      <c r="L761">
        <f t="shared" si="133"/>
        <v>6</v>
      </c>
      <c r="M761">
        <f t="shared" si="123"/>
        <v>660</v>
      </c>
      <c r="N761">
        <f t="shared" si="124"/>
        <v>165</v>
      </c>
      <c r="O761">
        <f t="shared" si="125"/>
        <v>495</v>
      </c>
      <c r="R761" s="21" t="str">
        <f t="shared" si="136"/>
        <v>Anu Oru Aacharyam!  by Rajeshkumar</v>
      </c>
    </row>
    <row r="762" spans="1:18" ht="18.3" x14ac:dyDescent="0.4">
      <c r="A762">
        <v>3407</v>
      </c>
      <c r="B762" t="s">
        <v>1594</v>
      </c>
      <c r="C762" t="s">
        <v>1582</v>
      </c>
      <c r="D762" t="s">
        <v>1595</v>
      </c>
      <c r="E762" t="s">
        <v>13</v>
      </c>
      <c r="F762" t="s">
        <v>116</v>
      </c>
      <c r="G762">
        <v>110</v>
      </c>
      <c r="H762">
        <v>8</v>
      </c>
      <c r="I762" s="16">
        <f t="shared" si="121"/>
        <v>880</v>
      </c>
      <c r="J762">
        <v>2</v>
      </c>
      <c r="K762">
        <f t="shared" si="122"/>
        <v>220</v>
      </c>
      <c r="L762">
        <f t="shared" si="133"/>
        <v>6</v>
      </c>
      <c r="M762">
        <f t="shared" si="123"/>
        <v>660</v>
      </c>
      <c r="N762">
        <f t="shared" si="124"/>
        <v>165</v>
      </c>
      <c r="O762">
        <f t="shared" si="125"/>
        <v>495</v>
      </c>
      <c r="R762" s="21" t="str">
        <f t="shared" si="136"/>
        <v>Appuram... Anitha!  by Rajeshkumar</v>
      </c>
    </row>
    <row r="763" spans="1:18" hidden="1" x14ac:dyDescent="0.3">
      <c r="A763">
        <v>2927</v>
      </c>
      <c r="B763" t="s">
        <v>1596</v>
      </c>
      <c r="C763" t="s">
        <v>1582</v>
      </c>
      <c r="D763" t="s">
        <v>1597</v>
      </c>
      <c r="E763" t="s">
        <v>13</v>
      </c>
      <c r="F763" t="s">
        <v>123</v>
      </c>
      <c r="G763">
        <v>170</v>
      </c>
      <c r="H763">
        <v>8</v>
      </c>
      <c r="I763" s="16">
        <f t="shared" si="121"/>
        <v>1360</v>
      </c>
      <c r="J763">
        <v>8</v>
      </c>
      <c r="K763">
        <f t="shared" si="122"/>
        <v>1360</v>
      </c>
      <c r="L763">
        <f t="shared" si="133"/>
        <v>0</v>
      </c>
      <c r="M763">
        <f t="shared" si="123"/>
        <v>0</v>
      </c>
      <c r="N763">
        <f t="shared" si="124"/>
        <v>0</v>
      </c>
      <c r="O763">
        <f t="shared" si="125"/>
        <v>0</v>
      </c>
    </row>
    <row r="764" spans="1:18" ht="18.3" x14ac:dyDescent="0.4">
      <c r="A764">
        <v>3472</v>
      </c>
      <c r="B764" t="s">
        <v>1598</v>
      </c>
      <c r="C764" t="s">
        <v>1582</v>
      </c>
      <c r="D764" t="s">
        <v>1599</v>
      </c>
      <c r="E764" t="s">
        <v>13</v>
      </c>
      <c r="F764" t="s">
        <v>116</v>
      </c>
      <c r="G764">
        <v>150</v>
      </c>
      <c r="H764">
        <v>8</v>
      </c>
      <c r="I764" s="16">
        <f t="shared" si="121"/>
        <v>1200</v>
      </c>
      <c r="J764">
        <v>5</v>
      </c>
      <c r="K764">
        <f t="shared" si="122"/>
        <v>750</v>
      </c>
      <c r="L764">
        <f t="shared" si="133"/>
        <v>3</v>
      </c>
      <c r="M764">
        <f t="shared" si="123"/>
        <v>450</v>
      </c>
      <c r="N764">
        <f t="shared" si="124"/>
        <v>112.5</v>
      </c>
      <c r="O764">
        <f t="shared" si="125"/>
        <v>337.5</v>
      </c>
      <c r="R764" s="21" t="str">
        <f t="shared" ref="R764:R771" si="137">_xlfn.TEXTJOIN("  by ",TRUE,B763,C763)</f>
        <v>Aabathu Ingey Aarambam  by Rajeshkumar</v>
      </c>
    </row>
    <row r="765" spans="1:18" ht="18.3" x14ac:dyDescent="0.4">
      <c r="A765">
        <v>7152</v>
      </c>
      <c r="B765" t="s">
        <v>1600</v>
      </c>
      <c r="C765" t="s">
        <v>1582</v>
      </c>
      <c r="D765" t="s">
        <v>1601</v>
      </c>
      <c r="E765" t="s">
        <v>13</v>
      </c>
      <c r="F765" t="s">
        <v>116</v>
      </c>
      <c r="G765">
        <v>100</v>
      </c>
      <c r="H765">
        <v>8</v>
      </c>
      <c r="I765" s="16">
        <f t="shared" si="121"/>
        <v>800</v>
      </c>
      <c r="J765">
        <v>5</v>
      </c>
      <c r="K765">
        <f t="shared" si="122"/>
        <v>500</v>
      </c>
      <c r="L765">
        <f t="shared" si="133"/>
        <v>3</v>
      </c>
      <c r="M765">
        <f t="shared" si="123"/>
        <v>300</v>
      </c>
      <c r="N765">
        <f t="shared" si="124"/>
        <v>75</v>
      </c>
      <c r="O765">
        <f t="shared" si="125"/>
        <v>225</v>
      </c>
      <c r="R765" s="21" t="str">
        <f t="shared" si="137"/>
        <v>Kadaisi Yethiri  by Rajeshkumar</v>
      </c>
    </row>
    <row r="766" spans="1:18" ht="18.3" x14ac:dyDescent="0.4">
      <c r="A766">
        <v>7809</v>
      </c>
      <c r="B766" t="s">
        <v>1602</v>
      </c>
      <c r="C766" t="s">
        <v>1582</v>
      </c>
      <c r="D766" t="s">
        <v>1603</v>
      </c>
      <c r="E766" t="s">
        <v>13</v>
      </c>
      <c r="F766" t="s">
        <v>116</v>
      </c>
      <c r="G766">
        <v>130</v>
      </c>
      <c r="H766">
        <v>8</v>
      </c>
      <c r="I766" s="16">
        <f t="shared" si="121"/>
        <v>1040</v>
      </c>
      <c r="J766">
        <v>1</v>
      </c>
      <c r="K766">
        <f t="shared" si="122"/>
        <v>130</v>
      </c>
      <c r="L766">
        <f t="shared" si="133"/>
        <v>7</v>
      </c>
      <c r="M766">
        <f t="shared" si="123"/>
        <v>910</v>
      </c>
      <c r="N766">
        <f t="shared" si="124"/>
        <v>227.5</v>
      </c>
      <c r="O766">
        <f t="shared" si="125"/>
        <v>682.5</v>
      </c>
      <c r="R766" s="21" t="str">
        <f t="shared" si="137"/>
        <v>Vivekin Viswaroopam  by Rajeshkumar</v>
      </c>
    </row>
    <row r="767" spans="1:18" ht="18.3" x14ac:dyDescent="0.4">
      <c r="A767">
        <v>3497</v>
      </c>
      <c r="B767" t="s">
        <v>1604</v>
      </c>
      <c r="C767" t="s">
        <v>1582</v>
      </c>
      <c r="D767" t="s">
        <v>1605</v>
      </c>
      <c r="E767" t="s">
        <v>13</v>
      </c>
      <c r="F767" t="s">
        <v>116</v>
      </c>
      <c r="G767">
        <v>110</v>
      </c>
      <c r="H767">
        <v>8</v>
      </c>
      <c r="I767" s="16">
        <f t="shared" si="121"/>
        <v>880</v>
      </c>
      <c r="J767">
        <v>4</v>
      </c>
      <c r="K767">
        <f t="shared" si="122"/>
        <v>440</v>
      </c>
      <c r="L767">
        <f t="shared" si="133"/>
        <v>4</v>
      </c>
      <c r="M767">
        <f t="shared" si="123"/>
        <v>440</v>
      </c>
      <c r="N767">
        <f t="shared" si="124"/>
        <v>110</v>
      </c>
      <c r="O767">
        <f t="shared" si="125"/>
        <v>330</v>
      </c>
      <c r="R767" s="21" t="str">
        <f t="shared" si="137"/>
        <v>A For Apple M For Murder  by Rajeshkumar</v>
      </c>
    </row>
    <row r="768" spans="1:18" ht="18.3" x14ac:dyDescent="0.4">
      <c r="A768">
        <v>4332</v>
      </c>
      <c r="B768" t="s">
        <v>1606</v>
      </c>
      <c r="C768" t="s">
        <v>1582</v>
      </c>
      <c r="D768" t="s">
        <v>1607</v>
      </c>
      <c r="E768" t="s">
        <v>13</v>
      </c>
      <c r="F768" t="s">
        <v>116</v>
      </c>
      <c r="G768">
        <v>210</v>
      </c>
      <c r="H768">
        <v>8</v>
      </c>
      <c r="I768" s="16">
        <f t="shared" si="121"/>
        <v>1680</v>
      </c>
      <c r="J768">
        <v>1</v>
      </c>
      <c r="K768">
        <f t="shared" si="122"/>
        <v>210</v>
      </c>
      <c r="L768">
        <f t="shared" si="133"/>
        <v>7</v>
      </c>
      <c r="M768">
        <f t="shared" si="123"/>
        <v>1470</v>
      </c>
      <c r="N768">
        <f t="shared" si="124"/>
        <v>367.5</v>
      </c>
      <c r="O768">
        <f t="shared" si="125"/>
        <v>1102.5</v>
      </c>
      <c r="R768" s="21" t="str">
        <f t="shared" si="137"/>
        <v>Maha sathi  by Rajeshkumar</v>
      </c>
    </row>
    <row r="769" spans="1:18" ht="18.3" x14ac:dyDescent="0.4">
      <c r="A769">
        <v>6361</v>
      </c>
      <c r="B769" t="s">
        <v>1608</v>
      </c>
      <c r="C769" t="s">
        <v>1609</v>
      </c>
      <c r="D769" t="s">
        <v>1610</v>
      </c>
      <c r="E769" t="s">
        <v>13</v>
      </c>
      <c r="F769" t="s">
        <v>136</v>
      </c>
      <c r="G769">
        <v>240</v>
      </c>
      <c r="H769">
        <v>2</v>
      </c>
      <c r="I769" s="16">
        <f t="shared" si="121"/>
        <v>480</v>
      </c>
      <c r="J769">
        <v>1</v>
      </c>
      <c r="K769">
        <f t="shared" si="122"/>
        <v>240</v>
      </c>
      <c r="L769">
        <f t="shared" si="133"/>
        <v>1</v>
      </c>
      <c r="M769">
        <f t="shared" si="123"/>
        <v>240</v>
      </c>
      <c r="N769">
        <f t="shared" si="124"/>
        <v>60</v>
      </c>
      <c r="O769">
        <f t="shared" si="125"/>
        <v>180</v>
      </c>
      <c r="R769" s="21" t="str">
        <f t="shared" si="137"/>
        <v>Bombaykku Pathavathu Mileil...  by Rajeshkumar</v>
      </c>
    </row>
    <row r="770" spans="1:18" ht="18.3" x14ac:dyDescent="0.4">
      <c r="A770">
        <v>4809</v>
      </c>
      <c r="B770" t="s">
        <v>1611</v>
      </c>
      <c r="C770" t="s">
        <v>1609</v>
      </c>
      <c r="D770" t="s">
        <v>1612</v>
      </c>
      <c r="E770" t="s">
        <v>13</v>
      </c>
      <c r="F770" t="s">
        <v>136</v>
      </c>
      <c r="G770">
        <v>110</v>
      </c>
      <c r="H770">
        <v>2</v>
      </c>
      <c r="I770" s="16">
        <f t="shared" si="121"/>
        <v>220</v>
      </c>
      <c r="J770">
        <v>1</v>
      </c>
      <c r="K770">
        <f t="shared" si="122"/>
        <v>110</v>
      </c>
      <c r="L770">
        <f t="shared" si="133"/>
        <v>1</v>
      </c>
      <c r="M770">
        <f t="shared" si="123"/>
        <v>110</v>
      </c>
      <c r="N770">
        <f t="shared" si="124"/>
        <v>27.5</v>
      </c>
      <c r="O770">
        <f t="shared" si="125"/>
        <v>82.5</v>
      </c>
      <c r="R770" s="21" t="str">
        <f t="shared" si="137"/>
        <v>Aadhi Sankararin Aanma Bodham  by S. Raman</v>
      </c>
    </row>
    <row r="771" spans="1:18" ht="18.3" x14ac:dyDescent="0.4">
      <c r="A771">
        <v>6689</v>
      </c>
      <c r="B771" t="s">
        <v>1613</v>
      </c>
      <c r="C771" t="s">
        <v>1609</v>
      </c>
      <c r="D771" t="s">
        <v>1614</v>
      </c>
      <c r="E771" t="s">
        <v>13</v>
      </c>
      <c r="F771" t="s">
        <v>44</v>
      </c>
      <c r="G771">
        <v>140</v>
      </c>
      <c r="H771">
        <v>2</v>
      </c>
      <c r="I771" s="16">
        <f t="shared" ref="I771:I834" si="138">H771*G771</f>
        <v>280</v>
      </c>
      <c r="J771">
        <v>1</v>
      </c>
      <c r="K771">
        <f t="shared" ref="K771:K834" si="139">J771*G771</f>
        <v>140</v>
      </c>
      <c r="L771">
        <f t="shared" si="133"/>
        <v>1</v>
      </c>
      <c r="M771">
        <f t="shared" ref="M771:M834" si="140">L771*G771</f>
        <v>140</v>
      </c>
      <c r="N771">
        <f t="shared" ref="N771:N834" si="141">M771*0.25</f>
        <v>35</v>
      </c>
      <c r="O771">
        <f t="shared" ref="O771:O834" si="142">M771-N771</f>
        <v>105</v>
      </c>
      <c r="R771" s="21" t="str">
        <f t="shared" si="137"/>
        <v>Ariyum Arive Arivu  by S. Raman</v>
      </c>
    </row>
    <row r="772" spans="1:18" hidden="1" x14ac:dyDescent="0.3">
      <c r="A772">
        <v>4735</v>
      </c>
      <c r="B772" t="s">
        <v>1615</v>
      </c>
      <c r="C772" t="s">
        <v>1616</v>
      </c>
      <c r="D772" t="s">
        <v>1617</v>
      </c>
      <c r="E772" t="s">
        <v>13</v>
      </c>
      <c r="F772" t="s">
        <v>44</v>
      </c>
      <c r="G772">
        <v>250</v>
      </c>
      <c r="H772">
        <v>2</v>
      </c>
      <c r="I772" s="16">
        <f t="shared" si="138"/>
        <v>500</v>
      </c>
      <c r="J772">
        <v>2</v>
      </c>
      <c r="K772">
        <f t="shared" si="139"/>
        <v>500</v>
      </c>
      <c r="L772">
        <f t="shared" si="133"/>
        <v>0</v>
      </c>
      <c r="M772">
        <f t="shared" si="140"/>
        <v>0</v>
      </c>
      <c r="N772">
        <f t="shared" si="141"/>
        <v>0</v>
      </c>
      <c r="O772">
        <f t="shared" si="142"/>
        <v>0</v>
      </c>
    </row>
    <row r="773" spans="1:18" hidden="1" x14ac:dyDescent="0.3">
      <c r="A773">
        <v>10287</v>
      </c>
      <c r="B773" t="s">
        <v>1618</v>
      </c>
      <c r="C773" t="s">
        <v>1616</v>
      </c>
      <c r="D773" t="s">
        <v>1619</v>
      </c>
      <c r="E773" t="s">
        <v>13</v>
      </c>
      <c r="F773" t="s">
        <v>14</v>
      </c>
      <c r="G773">
        <v>240</v>
      </c>
      <c r="H773">
        <v>2</v>
      </c>
      <c r="I773" s="16">
        <f t="shared" si="138"/>
        <v>480</v>
      </c>
      <c r="J773">
        <v>2</v>
      </c>
      <c r="K773">
        <f t="shared" si="139"/>
        <v>480</v>
      </c>
      <c r="L773">
        <f t="shared" si="133"/>
        <v>0</v>
      </c>
      <c r="M773">
        <f t="shared" si="140"/>
        <v>0</v>
      </c>
      <c r="N773">
        <f t="shared" si="141"/>
        <v>0</v>
      </c>
      <c r="O773">
        <f t="shared" si="142"/>
        <v>0</v>
      </c>
    </row>
    <row r="774" spans="1:18" hidden="1" x14ac:dyDescent="0.3">
      <c r="A774">
        <v>10292</v>
      </c>
      <c r="B774" t="s">
        <v>1620</v>
      </c>
      <c r="C774" t="s">
        <v>1616</v>
      </c>
      <c r="D774" t="s">
        <v>1621</v>
      </c>
      <c r="E774" t="s">
        <v>13</v>
      </c>
      <c r="F774" t="s">
        <v>728</v>
      </c>
      <c r="G774">
        <v>150</v>
      </c>
      <c r="H774">
        <v>2</v>
      </c>
      <c r="I774" s="16">
        <f t="shared" si="138"/>
        <v>300</v>
      </c>
      <c r="J774">
        <v>2</v>
      </c>
      <c r="K774">
        <f t="shared" si="139"/>
        <v>300</v>
      </c>
      <c r="L774">
        <f t="shared" si="133"/>
        <v>0</v>
      </c>
      <c r="M774">
        <f t="shared" si="140"/>
        <v>0</v>
      </c>
      <c r="N774">
        <f t="shared" si="141"/>
        <v>0</v>
      </c>
      <c r="O774">
        <f t="shared" si="142"/>
        <v>0</v>
      </c>
    </row>
    <row r="775" spans="1:18" ht="18.3" x14ac:dyDescent="0.4">
      <c r="A775">
        <v>1396</v>
      </c>
      <c r="B775" t="s">
        <v>1622</v>
      </c>
      <c r="C775" t="s">
        <v>1623</v>
      </c>
      <c r="D775" t="s">
        <v>1624</v>
      </c>
      <c r="E775" t="s">
        <v>13</v>
      </c>
      <c r="F775" t="s">
        <v>144</v>
      </c>
      <c r="G775">
        <v>170</v>
      </c>
      <c r="H775">
        <v>4</v>
      </c>
      <c r="I775" s="16">
        <f t="shared" si="138"/>
        <v>680</v>
      </c>
      <c r="J775">
        <v>0</v>
      </c>
      <c r="K775">
        <f t="shared" si="139"/>
        <v>0</v>
      </c>
      <c r="L775">
        <f t="shared" si="133"/>
        <v>4</v>
      </c>
      <c r="M775">
        <f t="shared" si="140"/>
        <v>680</v>
      </c>
      <c r="N775">
        <f t="shared" si="141"/>
        <v>170</v>
      </c>
      <c r="O775">
        <f t="shared" si="142"/>
        <v>510</v>
      </c>
      <c r="R775" s="21" t="str">
        <f t="shared" ref="R775:R776" si="143">_xlfn.TEXTJOIN("  by ",TRUE,B774,C774)</f>
        <v>Thirai Vimarsanam Oru Kalai!  by Saptharishi La.Sa.Ra.</v>
      </c>
    </row>
    <row r="776" spans="1:18" ht="18.3" x14ac:dyDescent="0.4">
      <c r="A776">
        <v>4667</v>
      </c>
      <c r="B776" t="s">
        <v>1625</v>
      </c>
      <c r="C776" t="s">
        <v>1623</v>
      </c>
      <c r="D776" t="s">
        <v>1626</v>
      </c>
      <c r="E776" t="s">
        <v>13</v>
      </c>
      <c r="F776" t="s">
        <v>144</v>
      </c>
      <c r="G776">
        <v>140</v>
      </c>
      <c r="H776">
        <v>2</v>
      </c>
      <c r="I776" s="16">
        <f t="shared" si="138"/>
        <v>280</v>
      </c>
      <c r="J776">
        <v>0</v>
      </c>
      <c r="K776">
        <f t="shared" si="139"/>
        <v>0</v>
      </c>
      <c r="L776">
        <f t="shared" si="133"/>
        <v>2</v>
      </c>
      <c r="M776">
        <f t="shared" si="140"/>
        <v>280</v>
      </c>
      <c r="N776">
        <f t="shared" si="141"/>
        <v>70</v>
      </c>
      <c r="O776">
        <f t="shared" si="142"/>
        <v>210</v>
      </c>
      <c r="R776" s="21" t="str">
        <f t="shared" si="143"/>
        <v>Washingtonil Thirumanam  by Savi</v>
      </c>
    </row>
    <row r="777" spans="1:18" hidden="1" x14ac:dyDescent="0.3">
      <c r="A777">
        <v>9153</v>
      </c>
      <c r="B777" t="s">
        <v>1627</v>
      </c>
      <c r="C777" t="s">
        <v>1623</v>
      </c>
      <c r="D777" t="s">
        <v>1628</v>
      </c>
      <c r="E777" t="s">
        <v>13</v>
      </c>
      <c r="F777" t="s">
        <v>39</v>
      </c>
      <c r="G777">
        <v>320</v>
      </c>
      <c r="H777">
        <v>2</v>
      </c>
      <c r="I777" s="16">
        <f t="shared" si="138"/>
        <v>640</v>
      </c>
      <c r="J777">
        <v>2</v>
      </c>
      <c r="K777">
        <f t="shared" si="139"/>
        <v>640</v>
      </c>
      <c r="L777">
        <f t="shared" si="133"/>
        <v>0</v>
      </c>
      <c r="M777">
        <f t="shared" si="140"/>
        <v>0</v>
      </c>
      <c r="N777">
        <f t="shared" si="141"/>
        <v>0</v>
      </c>
      <c r="O777">
        <f t="shared" si="142"/>
        <v>0</v>
      </c>
    </row>
    <row r="778" spans="1:18" ht="18.3" x14ac:dyDescent="0.4">
      <c r="A778">
        <v>2421</v>
      </c>
      <c r="B778" t="s">
        <v>1629</v>
      </c>
      <c r="C778" t="s">
        <v>1623</v>
      </c>
      <c r="D778" t="s">
        <v>1630</v>
      </c>
      <c r="E778" t="s">
        <v>13</v>
      </c>
      <c r="F778" t="s">
        <v>44</v>
      </c>
      <c r="G778">
        <v>110</v>
      </c>
      <c r="H778">
        <v>2</v>
      </c>
      <c r="I778" s="16">
        <f t="shared" si="138"/>
        <v>220</v>
      </c>
      <c r="J778">
        <v>1</v>
      </c>
      <c r="K778">
        <f t="shared" si="139"/>
        <v>110</v>
      </c>
      <c r="L778">
        <f t="shared" si="133"/>
        <v>1</v>
      </c>
      <c r="M778">
        <f t="shared" si="140"/>
        <v>110</v>
      </c>
      <c r="N778">
        <f t="shared" si="141"/>
        <v>27.5</v>
      </c>
      <c r="O778">
        <f t="shared" si="142"/>
        <v>82.5</v>
      </c>
      <c r="R778" s="21" t="str">
        <f t="shared" ref="R778:R779" si="144">_xlfn.TEXTJOIN("  by ",TRUE,B777,C777)</f>
        <v>Komaganin Kaadhal  by Savi</v>
      </c>
    </row>
    <row r="779" spans="1:18" ht="18.3" x14ac:dyDescent="0.4">
      <c r="A779">
        <v>1394</v>
      </c>
      <c r="B779" t="s">
        <v>1631</v>
      </c>
      <c r="C779" t="s">
        <v>1623</v>
      </c>
      <c r="D779" t="s">
        <v>1632</v>
      </c>
      <c r="E779" t="s">
        <v>13</v>
      </c>
      <c r="F779" t="s">
        <v>44</v>
      </c>
      <c r="G779">
        <v>230</v>
      </c>
      <c r="H779">
        <v>2</v>
      </c>
      <c r="I779" s="16">
        <f t="shared" si="138"/>
        <v>460</v>
      </c>
      <c r="J779">
        <v>0</v>
      </c>
      <c r="K779">
        <f t="shared" si="139"/>
        <v>0</v>
      </c>
      <c r="L779">
        <f t="shared" si="133"/>
        <v>2</v>
      </c>
      <c r="M779">
        <f t="shared" si="140"/>
        <v>460</v>
      </c>
      <c r="N779">
        <f t="shared" si="141"/>
        <v>115</v>
      </c>
      <c r="O779">
        <f t="shared" si="142"/>
        <v>345</v>
      </c>
      <c r="R779" s="21" t="str">
        <f t="shared" si="144"/>
        <v>Mouna Pillaiyar  by Savi</v>
      </c>
    </row>
    <row r="780" spans="1:18" hidden="1" x14ac:dyDescent="0.3">
      <c r="A780">
        <v>4683</v>
      </c>
      <c r="B780" t="s">
        <v>1633</v>
      </c>
      <c r="C780" t="s">
        <v>1623</v>
      </c>
      <c r="D780" t="s">
        <v>1634</v>
      </c>
      <c r="E780" t="s">
        <v>13</v>
      </c>
      <c r="F780" t="s">
        <v>144</v>
      </c>
      <c r="G780">
        <v>180</v>
      </c>
      <c r="H780">
        <v>2</v>
      </c>
      <c r="I780" s="16">
        <f t="shared" si="138"/>
        <v>360</v>
      </c>
      <c r="J780">
        <v>2</v>
      </c>
      <c r="K780">
        <f t="shared" si="139"/>
        <v>360</v>
      </c>
      <c r="L780">
        <f t="shared" si="133"/>
        <v>0</v>
      </c>
      <c r="M780">
        <f t="shared" si="140"/>
        <v>0</v>
      </c>
      <c r="N780">
        <f t="shared" si="141"/>
        <v>0</v>
      </c>
      <c r="O780">
        <f t="shared" si="142"/>
        <v>0</v>
      </c>
    </row>
    <row r="781" spans="1:18" ht="18.3" x14ac:dyDescent="0.4">
      <c r="A781">
        <v>2807</v>
      </c>
      <c r="B781" t="s">
        <v>1635</v>
      </c>
      <c r="C781" t="s">
        <v>1623</v>
      </c>
      <c r="D781" t="s">
        <v>1636</v>
      </c>
      <c r="E781" t="s">
        <v>13</v>
      </c>
      <c r="F781" t="s">
        <v>44</v>
      </c>
      <c r="G781">
        <v>130</v>
      </c>
      <c r="H781">
        <v>2</v>
      </c>
      <c r="I781" s="16">
        <f t="shared" si="138"/>
        <v>260</v>
      </c>
      <c r="J781">
        <v>1</v>
      </c>
      <c r="K781">
        <f t="shared" si="139"/>
        <v>130</v>
      </c>
      <c r="L781">
        <f t="shared" si="133"/>
        <v>1</v>
      </c>
      <c r="M781">
        <f t="shared" si="140"/>
        <v>130</v>
      </c>
      <c r="N781">
        <f t="shared" si="141"/>
        <v>32.5</v>
      </c>
      <c r="O781">
        <f t="shared" si="142"/>
        <v>97.5</v>
      </c>
      <c r="R781" s="21" t="str">
        <f t="shared" ref="R781:R782" si="145">_xlfn.TEXTJOIN("  by ",TRUE,B780,C780)</f>
        <v>Theppo 76  by Savi</v>
      </c>
    </row>
    <row r="782" spans="1:18" ht="18.3" x14ac:dyDescent="0.4">
      <c r="A782">
        <v>2418</v>
      </c>
      <c r="B782" t="s">
        <v>1637</v>
      </c>
      <c r="C782" t="s">
        <v>1623</v>
      </c>
      <c r="D782" t="s">
        <v>1638</v>
      </c>
      <c r="E782" t="s">
        <v>13</v>
      </c>
      <c r="F782" t="s">
        <v>14</v>
      </c>
      <c r="G782">
        <v>290</v>
      </c>
      <c r="H782">
        <v>2</v>
      </c>
      <c r="I782" s="16">
        <f t="shared" si="138"/>
        <v>580</v>
      </c>
      <c r="J782">
        <v>0</v>
      </c>
      <c r="K782">
        <f t="shared" si="139"/>
        <v>0</v>
      </c>
      <c r="L782">
        <f t="shared" si="133"/>
        <v>2</v>
      </c>
      <c r="M782">
        <f t="shared" si="140"/>
        <v>580</v>
      </c>
      <c r="N782">
        <f t="shared" si="141"/>
        <v>145</v>
      </c>
      <c r="O782">
        <f t="shared" si="142"/>
        <v>435</v>
      </c>
      <c r="R782" s="21" t="str">
        <f t="shared" si="145"/>
        <v>Vadam Pidikka Vaanga Jappanukku  by Savi</v>
      </c>
    </row>
    <row r="783" spans="1:18" hidden="1" x14ac:dyDescent="0.3">
      <c r="A783">
        <v>2510</v>
      </c>
      <c r="B783" t="s">
        <v>1639</v>
      </c>
      <c r="C783" t="s">
        <v>1640</v>
      </c>
      <c r="D783" t="s">
        <v>1641</v>
      </c>
      <c r="E783" t="s">
        <v>13</v>
      </c>
      <c r="F783" t="s">
        <v>44</v>
      </c>
      <c r="G783">
        <v>290</v>
      </c>
      <c r="H783">
        <v>2</v>
      </c>
      <c r="I783" s="16">
        <f t="shared" si="138"/>
        <v>580</v>
      </c>
      <c r="J783">
        <v>2</v>
      </c>
      <c r="K783">
        <f t="shared" si="139"/>
        <v>580</v>
      </c>
      <c r="L783">
        <f t="shared" si="133"/>
        <v>0</v>
      </c>
      <c r="M783">
        <f t="shared" si="140"/>
        <v>0</v>
      </c>
      <c r="N783">
        <f t="shared" si="141"/>
        <v>0</v>
      </c>
      <c r="O783">
        <f t="shared" si="142"/>
        <v>0</v>
      </c>
    </row>
    <row r="784" spans="1:18" ht="18.3" x14ac:dyDescent="0.4">
      <c r="A784">
        <v>2569</v>
      </c>
      <c r="B784" t="s">
        <v>1642</v>
      </c>
      <c r="C784" t="s">
        <v>1640</v>
      </c>
      <c r="D784" t="s">
        <v>1643</v>
      </c>
      <c r="E784" t="s">
        <v>13</v>
      </c>
      <c r="F784" t="s">
        <v>44</v>
      </c>
      <c r="G784">
        <v>190</v>
      </c>
      <c r="H784">
        <v>2</v>
      </c>
      <c r="I784" s="16">
        <f t="shared" si="138"/>
        <v>380</v>
      </c>
      <c r="J784">
        <v>1</v>
      </c>
      <c r="K784">
        <f t="shared" si="139"/>
        <v>190</v>
      </c>
      <c r="L784">
        <f t="shared" si="133"/>
        <v>1</v>
      </c>
      <c r="M784">
        <f t="shared" si="140"/>
        <v>190</v>
      </c>
      <c r="N784">
        <f t="shared" si="141"/>
        <v>47.5</v>
      </c>
      <c r="O784">
        <f t="shared" si="142"/>
        <v>142.5</v>
      </c>
      <c r="R784" s="21" t="str">
        <f t="shared" ref="R784:R785" si="146">_xlfn.TEXTJOIN("  by ",TRUE,B783,C783)</f>
        <v>47 Natkal  by Sivasankari</v>
      </c>
    </row>
    <row r="785" spans="1:18" ht="18.3" x14ac:dyDescent="0.4">
      <c r="A785">
        <v>2570</v>
      </c>
      <c r="B785" t="s">
        <v>1644</v>
      </c>
      <c r="C785" t="s">
        <v>1640</v>
      </c>
      <c r="D785" t="s">
        <v>1645</v>
      </c>
      <c r="E785" t="s">
        <v>13</v>
      </c>
      <c r="F785" t="s">
        <v>44</v>
      </c>
      <c r="G785">
        <v>100</v>
      </c>
      <c r="H785">
        <v>2</v>
      </c>
      <c r="I785" s="16">
        <f t="shared" si="138"/>
        <v>200</v>
      </c>
      <c r="J785">
        <v>0</v>
      </c>
      <c r="K785">
        <f t="shared" si="139"/>
        <v>0</v>
      </c>
      <c r="L785">
        <f t="shared" si="133"/>
        <v>2</v>
      </c>
      <c r="M785">
        <f t="shared" si="140"/>
        <v>200</v>
      </c>
      <c r="N785">
        <f t="shared" si="141"/>
        <v>50</v>
      </c>
      <c r="O785">
        <f t="shared" si="142"/>
        <v>150</v>
      </c>
      <c r="R785" s="21" t="str">
        <f t="shared" si="146"/>
        <v>Aairam Kaalathu Payir  by Sivasankari</v>
      </c>
    </row>
    <row r="786" spans="1:18" hidden="1" x14ac:dyDescent="0.3">
      <c r="A786">
        <v>3078</v>
      </c>
      <c r="B786" t="s">
        <v>1646</v>
      </c>
      <c r="C786" t="s">
        <v>1640</v>
      </c>
      <c r="D786" t="s">
        <v>1647</v>
      </c>
      <c r="E786" t="s">
        <v>13</v>
      </c>
      <c r="F786" t="s">
        <v>44</v>
      </c>
      <c r="G786">
        <v>80</v>
      </c>
      <c r="H786">
        <v>2</v>
      </c>
      <c r="I786" s="16">
        <f t="shared" si="138"/>
        <v>160</v>
      </c>
      <c r="J786">
        <v>2</v>
      </c>
      <c r="K786">
        <f t="shared" si="139"/>
        <v>160</v>
      </c>
      <c r="L786">
        <f t="shared" si="133"/>
        <v>0</v>
      </c>
      <c r="M786">
        <f t="shared" si="140"/>
        <v>0</v>
      </c>
      <c r="N786">
        <f t="shared" si="141"/>
        <v>0</v>
      </c>
      <c r="O786">
        <f t="shared" si="142"/>
        <v>0</v>
      </c>
    </row>
    <row r="787" spans="1:18" ht="18.3" x14ac:dyDescent="0.4">
      <c r="A787">
        <v>5028</v>
      </c>
      <c r="B787" t="s">
        <v>1648</v>
      </c>
      <c r="C787" t="s">
        <v>1640</v>
      </c>
      <c r="D787" t="s">
        <v>1649</v>
      </c>
      <c r="E787" t="s">
        <v>13</v>
      </c>
      <c r="F787" t="s">
        <v>1182</v>
      </c>
      <c r="G787">
        <v>70</v>
      </c>
      <c r="H787">
        <v>2</v>
      </c>
      <c r="I787" s="16">
        <f t="shared" si="138"/>
        <v>140</v>
      </c>
      <c r="J787">
        <v>1</v>
      </c>
      <c r="K787">
        <f t="shared" si="139"/>
        <v>70</v>
      </c>
      <c r="L787">
        <f t="shared" si="133"/>
        <v>1</v>
      </c>
      <c r="M787">
        <f t="shared" si="140"/>
        <v>70</v>
      </c>
      <c r="N787">
        <f t="shared" si="141"/>
        <v>17.5</v>
      </c>
      <c r="O787">
        <f t="shared" si="142"/>
        <v>52.5</v>
      </c>
      <c r="R787" s="21" t="str">
        <f t="shared" ref="R787:R788" si="147">_xlfn.TEXTJOIN("  by ",TRUE,B786,C786)</f>
        <v>Amma  by Sivasankari</v>
      </c>
    </row>
    <row r="788" spans="1:18" ht="18.3" x14ac:dyDescent="0.4">
      <c r="A788">
        <v>3084</v>
      </c>
      <c r="B788" t="s">
        <v>1650</v>
      </c>
      <c r="C788" t="s">
        <v>1640</v>
      </c>
      <c r="D788" t="s">
        <v>1651</v>
      </c>
      <c r="E788" t="s">
        <v>13</v>
      </c>
      <c r="F788" t="s">
        <v>44</v>
      </c>
      <c r="G788">
        <v>90</v>
      </c>
      <c r="H788">
        <v>2</v>
      </c>
      <c r="I788" s="16">
        <f t="shared" si="138"/>
        <v>180</v>
      </c>
      <c r="J788">
        <v>1</v>
      </c>
      <c r="K788">
        <f t="shared" si="139"/>
        <v>90</v>
      </c>
      <c r="L788">
        <f t="shared" si="133"/>
        <v>1</v>
      </c>
      <c r="M788">
        <f t="shared" si="140"/>
        <v>90</v>
      </c>
      <c r="N788">
        <f t="shared" si="141"/>
        <v>22.5</v>
      </c>
      <c r="O788">
        <f t="shared" si="142"/>
        <v>67.5</v>
      </c>
      <c r="R788" s="21" t="str">
        <f t="shared" si="147"/>
        <v>Amma Sonna Kathaigal  by Sivasankari</v>
      </c>
    </row>
    <row r="789" spans="1:18" hidden="1" x14ac:dyDescent="0.3">
      <c r="A789">
        <v>277</v>
      </c>
      <c r="B789" t="s">
        <v>1652</v>
      </c>
      <c r="C789" t="s">
        <v>1640</v>
      </c>
      <c r="D789" t="s">
        <v>1653</v>
      </c>
      <c r="E789" t="s">
        <v>13</v>
      </c>
      <c r="F789" t="s">
        <v>44</v>
      </c>
      <c r="G789">
        <v>100</v>
      </c>
      <c r="H789">
        <v>2</v>
      </c>
      <c r="I789" s="16">
        <f t="shared" si="138"/>
        <v>200</v>
      </c>
      <c r="J789">
        <v>2</v>
      </c>
      <c r="K789">
        <f t="shared" si="139"/>
        <v>200</v>
      </c>
      <c r="L789">
        <f t="shared" si="133"/>
        <v>0</v>
      </c>
      <c r="M789">
        <f t="shared" si="140"/>
        <v>0</v>
      </c>
      <c r="N789">
        <f t="shared" si="141"/>
        <v>0</v>
      </c>
      <c r="O789">
        <f t="shared" si="142"/>
        <v>0</v>
      </c>
    </row>
    <row r="790" spans="1:18" ht="18.3" x14ac:dyDescent="0.4">
      <c r="A790">
        <v>2512</v>
      </c>
      <c r="B790" t="s">
        <v>1654</v>
      </c>
      <c r="C790" t="s">
        <v>1640</v>
      </c>
      <c r="D790" t="s">
        <v>1655</v>
      </c>
      <c r="E790" t="s">
        <v>13</v>
      </c>
      <c r="F790" t="s">
        <v>44</v>
      </c>
      <c r="G790">
        <v>330</v>
      </c>
      <c r="H790">
        <v>2</v>
      </c>
      <c r="I790" s="16">
        <f t="shared" si="138"/>
        <v>660</v>
      </c>
      <c r="J790">
        <v>1</v>
      </c>
      <c r="K790">
        <f t="shared" si="139"/>
        <v>330</v>
      </c>
      <c r="L790">
        <f t="shared" si="133"/>
        <v>1</v>
      </c>
      <c r="M790">
        <f t="shared" si="140"/>
        <v>330</v>
      </c>
      <c r="N790">
        <f t="shared" si="141"/>
        <v>82.5</v>
      </c>
      <c r="O790">
        <f t="shared" si="142"/>
        <v>247.5</v>
      </c>
      <c r="R790" s="21" t="str">
        <f>_xlfn.TEXTJOIN("  by ",TRUE,B789,C789)</f>
        <v>Appodhum Ippodhum  by Sivasankari</v>
      </c>
    </row>
    <row r="791" spans="1:18" hidden="1" x14ac:dyDescent="0.3">
      <c r="A791">
        <v>2804</v>
      </c>
      <c r="B791" t="s">
        <v>1656</v>
      </c>
      <c r="C791" t="s">
        <v>1640</v>
      </c>
      <c r="D791" t="s">
        <v>1657</v>
      </c>
      <c r="E791" t="s">
        <v>13</v>
      </c>
      <c r="F791" t="s">
        <v>1238</v>
      </c>
      <c r="G791">
        <v>340</v>
      </c>
      <c r="H791">
        <v>2</v>
      </c>
      <c r="I791" s="16">
        <f t="shared" si="138"/>
        <v>680</v>
      </c>
      <c r="J791">
        <v>2</v>
      </c>
      <c r="K791">
        <f t="shared" si="139"/>
        <v>680</v>
      </c>
      <c r="L791">
        <f t="shared" si="133"/>
        <v>0</v>
      </c>
      <c r="M791">
        <f t="shared" si="140"/>
        <v>0</v>
      </c>
      <c r="N791">
        <f t="shared" si="141"/>
        <v>0</v>
      </c>
      <c r="O791">
        <f t="shared" si="142"/>
        <v>0</v>
      </c>
    </row>
    <row r="792" spans="1:18" ht="18.3" x14ac:dyDescent="0.4">
      <c r="A792">
        <v>2737</v>
      </c>
      <c r="B792" t="s">
        <v>1658</v>
      </c>
      <c r="C792" t="s">
        <v>1640</v>
      </c>
      <c r="D792" t="s">
        <v>1659</v>
      </c>
      <c r="E792" t="s">
        <v>13</v>
      </c>
      <c r="F792" t="s">
        <v>1238</v>
      </c>
      <c r="G792">
        <v>90</v>
      </c>
      <c r="H792">
        <v>2</v>
      </c>
      <c r="I792" s="16">
        <f t="shared" si="138"/>
        <v>180</v>
      </c>
      <c r="J792">
        <v>1</v>
      </c>
      <c r="K792">
        <f t="shared" si="139"/>
        <v>90</v>
      </c>
      <c r="L792">
        <f t="shared" si="133"/>
        <v>1</v>
      </c>
      <c r="M792">
        <f t="shared" si="140"/>
        <v>90</v>
      </c>
      <c r="N792">
        <f t="shared" si="141"/>
        <v>22.5</v>
      </c>
      <c r="O792">
        <f t="shared" si="142"/>
        <v>67.5</v>
      </c>
      <c r="R792" s="21" t="str">
        <f t="shared" ref="R792:R794" si="148">_xlfn.TEXTJOIN("  by ",TRUE,B791,C791)</f>
        <v>Bharatha Dharisanam India Payanakathai  by Sivasankari</v>
      </c>
    </row>
    <row r="793" spans="1:18" ht="18.3" x14ac:dyDescent="0.4">
      <c r="A793">
        <v>278</v>
      </c>
      <c r="B793" t="s">
        <v>1660</v>
      </c>
      <c r="C793" t="s">
        <v>1640</v>
      </c>
      <c r="D793" t="s">
        <v>1661</v>
      </c>
      <c r="E793" t="s">
        <v>13</v>
      </c>
      <c r="F793" t="s">
        <v>705</v>
      </c>
      <c r="G793">
        <v>370</v>
      </c>
      <c r="H793">
        <v>2</v>
      </c>
      <c r="I793" s="16">
        <f t="shared" si="138"/>
        <v>740</v>
      </c>
      <c r="J793">
        <v>0</v>
      </c>
      <c r="K793">
        <f t="shared" si="139"/>
        <v>0</v>
      </c>
      <c r="L793">
        <f t="shared" si="133"/>
        <v>2</v>
      </c>
      <c r="M793">
        <f t="shared" si="140"/>
        <v>740</v>
      </c>
      <c r="N793">
        <f t="shared" si="141"/>
        <v>185</v>
      </c>
      <c r="O793">
        <f t="shared" si="142"/>
        <v>555</v>
      </c>
      <c r="R793" s="21" t="str">
        <f t="shared" si="148"/>
        <v>Cambodia, Vietnam Oru Kazhuguparvai  by Sivasankari</v>
      </c>
    </row>
    <row r="794" spans="1:18" ht="18.3" x14ac:dyDescent="0.4">
      <c r="A794">
        <v>7312</v>
      </c>
      <c r="B794" t="s">
        <v>1662</v>
      </c>
      <c r="C794" t="s">
        <v>1640</v>
      </c>
      <c r="D794" t="s">
        <v>1663</v>
      </c>
      <c r="E794" t="s">
        <v>13</v>
      </c>
      <c r="F794" t="s">
        <v>44</v>
      </c>
      <c r="G794">
        <v>140</v>
      </c>
      <c r="H794">
        <v>2</v>
      </c>
      <c r="I794" s="16">
        <f t="shared" si="138"/>
        <v>280</v>
      </c>
      <c r="J794">
        <v>0</v>
      </c>
      <c r="K794">
        <f t="shared" si="139"/>
        <v>0</v>
      </c>
      <c r="L794">
        <f t="shared" si="133"/>
        <v>2</v>
      </c>
      <c r="M794">
        <f t="shared" si="140"/>
        <v>280</v>
      </c>
      <c r="N794">
        <f t="shared" si="141"/>
        <v>70</v>
      </c>
      <c r="O794">
        <f t="shared" si="142"/>
        <v>210</v>
      </c>
      <c r="R794" s="21" t="str">
        <f t="shared" si="148"/>
        <v>Chinna Noolkanda Nammaich Siraippaduthuvathu?  by Sivasankari</v>
      </c>
    </row>
    <row r="795" spans="1:18" hidden="1" x14ac:dyDescent="0.3">
      <c r="A795">
        <v>6107</v>
      </c>
      <c r="B795" t="s">
        <v>1664</v>
      </c>
      <c r="C795" t="s">
        <v>1640</v>
      </c>
      <c r="D795" t="s">
        <v>1665</v>
      </c>
      <c r="E795" t="s">
        <v>447</v>
      </c>
      <c r="F795" t="s">
        <v>44</v>
      </c>
      <c r="G795">
        <v>80</v>
      </c>
      <c r="H795">
        <v>2</v>
      </c>
      <c r="I795" s="16">
        <f t="shared" si="138"/>
        <v>160</v>
      </c>
      <c r="J795">
        <v>2</v>
      </c>
      <c r="K795">
        <f t="shared" si="139"/>
        <v>160</v>
      </c>
      <c r="L795">
        <f t="shared" si="133"/>
        <v>0</v>
      </c>
      <c r="M795">
        <f t="shared" si="140"/>
        <v>0</v>
      </c>
      <c r="N795">
        <f t="shared" si="141"/>
        <v>0</v>
      </c>
      <c r="O795">
        <f t="shared" si="142"/>
        <v>0</v>
      </c>
    </row>
    <row r="796" spans="1:18" ht="18.3" x14ac:dyDescent="0.4">
      <c r="A796">
        <v>3653</v>
      </c>
      <c r="B796" t="s">
        <v>1666</v>
      </c>
      <c r="C796" t="s">
        <v>1640</v>
      </c>
      <c r="D796" t="s">
        <v>1667</v>
      </c>
      <c r="E796" t="s">
        <v>13</v>
      </c>
      <c r="F796" t="s">
        <v>14</v>
      </c>
      <c r="G796">
        <v>110</v>
      </c>
      <c r="H796">
        <v>2</v>
      </c>
      <c r="I796" s="16">
        <f t="shared" si="138"/>
        <v>220</v>
      </c>
      <c r="J796">
        <v>1</v>
      </c>
      <c r="K796">
        <f t="shared" si="139"/>
        <v>110</v>
      </c>
      <c r="L796">
        <f t="shared" si="133"/>
        <v>1</v>
      </c>
      <c r="M796">
        <f t="shared" si="140"/>
        <v>110</v>
      </c>
      <c r="N796">
        <f t="shared" si="141"/>
        <v>27.5</v>
      </c>
      <c r="O796">
        <f t="shared" si="142"/>
        <v>82.5</v>
      </c>
      <c r="R796" s="21" t="str">
        <f>_xlfn.TEXTJOIN("  by ",TRUE,B795,C795)</f>
        <v>Deliverance  by Sivasankari</v>
      </c>
    </row>
    <row r="797" spans="1:18" hidden="1" x14ac:dyDescent="0.3">
      <c r="A797">
        <v>2565</v>
      </c>
      <c r="B797" t="s">
        <v>1668</v>
      </c>
      <c r="C797" t="s">
        <v>1640</v>
      </c>
      <c r="D797" t="s">
        <v>1669</v>
      </c>
      <c r="E797" t="s">
        <v>13</v>
      </c>
      <c r="F797" t="s">
        <v>705</v>
      </c>
      <c r="G797">
        <v>270</v>
      </c>
      <c r="H797">
        <v>2</v>
      </c>
      <c r="I797" s="16">
        <f t="shared" si="138"/>
        <v>540</v>
      </c>
      <c r="J797">
        <v>2</v>
      </c>
      <c r="K797">
        <f t="shared" si="139"/>
        <v>540</v>
      </c>
      <c r="L797">
        <f t="shared" si="133"/>
        <v>0</v>
      </c>
      <c r="M797">
        <f t="shared" si="140"/>
        <v>0</v>
      </c>
      <c r="N797">
        <f t="shared" si="141"/>
        <v>0</v>
      </c>
      <c r="O797">
        <f t="shared" si="142"/>
        <v>0</v>
      </c>
    </row>
    <row r="798" spans="1:18" hidden="1" x14ac:dyDescent="0.3">
      <c r="A798">
        <v>4490</v>
      </c>
      <c r="B798" t="s">
        <v>1670</v>
      </c>
      <c r="C798" t="s">
        <v>1640</v>
      </c>
      <c r="D798" t="s">
        <v>1671</v>
      </c>
      <c r="E798" t="s">
        <v>13</v>
      </c>
      <c r="F798" t="s">
        <v>14</v>
      </c>
      <c r="G798">
        <v>160</v>
      </c>
      <c r="H798">
        <v>2</v>
      </c>
      <c r="I798" s="16">
        <f t="shared" si="138"/>
        <v>320</v>
      </c>
      <c r="J798">
        <v>2</v>
      </c>
      <c r="K798">
        <f t="shared" si="139"/>
        <v>320</v>
      </c>
      <c r="L798">
        <f t="shared" si="133"/>
        <v>0</v>
      </c>
      <c r="M798">
        <f t="shared" si="140"/>
        <v>0</v>
      </c>
      <c r="N798">
        <f t="shared" si="141"/>
        <v>0</v>
      </c>
      <c r="O798">
        <f t="shared" si="142"/>
        <v>0</v>
      </c>
    </row>
    <row r="799" spans="1:18" hidden="1" x14ac:dyDescent="0.3">
      <c r="A799">
        <v>3338</v>
      </c>
      <c r="B799" t="s">
        <v>1672</v>
      </c>
      <c r="C799" t="s">
        <v>1640</v>
      </c>
      <c r="D799" t="s">
        <v>1673</v>
      </c>
      <c r="E799" t="s">
        <v>13</v>
      </c>
      <c r="F799" t="s">
        <v>44</v>
      </c>
      <c r="G799">
        <v>60</v>
      </c>
      <c r="H799">
        <v>2</v>
      </c>
      <c r="I799" s="16">
        <f t="shared" si="138"/>
        <v>120</v>
      </c>
      <c r="J799">
        <v>2</v>
      </c>
      <c r="K799">
        <f t="shared" si="139"/>
        <v>120</v>
      </c>
      <c r="L799">
        <f t="shared" si="133"/>
        <v>0</v>
      </c>
      <c r="M799">
        <f t="shared" si="140"/>
        <v>0</v>
      </c>
      <c r="N799">
        <f t="shared" si="141"/>
        <v>0</v>
      </c>
      <c r="O799">
        <f t="shared" si="142"/>
        <v>0</v>
      </c>
    </row>
    <row r="800" spans="1:18" hidden="1" x14ac:dyDescent="0.3">
      <c r="A800">
        <v>6345</v>
      </c>
      <c r="B800" t="s">
        <v>1674</v>
      </c>
      <c r="C800" t="s">
        <v>1640</v>
      </c>
      <c r="D800" t="s">
        <v>1675</v>
      </c>
      <c r="E800" t="s">
        <v>447</v>
      </c>
      <c r="F800" t="s">
        <v>44</v>
      </c>
      <c r="G800">
        <v>80</v>
      </c>
      <c r="H800">
        <v>2</v>
      </c>
      <c r="I800" s="16">
        <f t="shared" si="138"/>
        <v>160</v>
      </c>
      <c r="J800">
        <v>2</v>
      </c>
      <c r="K800">
        <f t="shared" si="139"/>
        <v>160</v>
      </c>
      <c r="L800">
        <f t="shared" si="133"/>
        <v>0</v>
      </c>
      <c r="M800">
        <f t="shared" si="140"/>
        <v>0</v>
      </c>
      <c r="N800">
        <f t="shared" si="141"/>
        <v>0</v>
      </c>
      <c r="O800">
        <f t="shared" si="142"/>
        <v>0</v>
      </c>
    </row>
    <row r="801" spans="1:18" hidden="1" x14ac:dyDescent="0.3">
      <c r="A801">
        <v>7313</v>
      </c>
      <c r="B801" t="s">
        <v>1676</v>
      </c>
      <c r="C801" t="s">
        <v>1640</v>
      </c>
      <c r="D801" t="s">
        <v>1677</v>
      </c>
      <c r="E801" t="s">
        <v>447</v>
      </c>
      <c r="F801" t="s">
        <v>44</v>
      </c>
      <c r="G801">
        <v>210</v>
      </c>
      <c r="H801">
        <v>2</v>
      </c>
      <c r="I801" s="16">
        <f t="shared" si="138"/>
        <v>420</v>
      </c>
      <c r="J801">
        <v>2</v>
      </c>
      <c r="K801">
        <f t="shared" si="139"/>
        <v>420</v>
      </c>
      <c r="L801">
        <f t="shared" si="133"/>
        <v>0</v>
      </c>
      <c r="M801">
        <f t="shared" si="140"/>
        <v>0</v>
      </c>
      <c r="N801">
        <f t="shared" si="141"/>
        <v>0</v>
      </c>
      <c r="O801">
        <f t="shared" si="142"/>
        <v>0</v>
      </c>
    </row>
    <row r="802" spans="1:18" ht="18.3" x14ac:dyDescent="0.4">
      <c r="A802">
        <v>2799</v>
      </c>
      <c r="B802" t="s">
        <v>1678</v>
      </c>
      <c r="C802" t="s">
        <v>1640</v>
      </c>
      <c r="D802" t="s">
        <v>1679</v>
      </c>
      <c r="E802" t="s">
        <v>13</v>
      </c>
      <c r="F802" t="s">
        <v>675</v>
      </c>
      <c r="G802">
        <v>190</v>
      </c>
      <c r="H802">
        <v>2</v>
      </c>
      <c r="I802" s="16">
        <f t="shared" si="138"/>
        <v>380</v>
      </c>
      <c r="J802">
        <v>1</v>
      </c>
      <c r="K802">
        <f t="shared" si="139"/>
        <v>190</v>
      </c>
      <c r="L802">
        <f t="shared" si="133"/>
        <v>1</v>
      </c>
      <c r="M802">
        <f t="shared" si="140"/>
        <v>190</v>
      </c>
      <c r="N802">
        <f t="shared" si="141"/>
        <v>47.5</v>
      </c>
      <c r="O802">
        <f t="shared" si="142"/>
        <v>142.5</v>
      </c>
      <c r="R802" s="21" t="str">
        <f t="shared" ref="R802:R804" si="149">_xlfn.TEXTJOIN("  by ",TRUE,B801,C801)</f>
        <v>Gods Wait To Punish  by Sivasankari</v>
      </c>
    </row>
    <row r="803" spans="1:18" ht="18.3" x14ac:dyDescent="0.4">
      <c r="A803">
        <v>3339</v>
      </c>
      <c r="B803" t="s">
        <v>1680</v>
      </c>
      <c r="C803" t="s">
        <v>1640</v>
      </c>
      <c r="D803" t="s">
        <v>1681</v>
      </c>
      <c r="E803" t="s">
        <v>13</v>
      </c>
      <c r="F803" t="s">
        <v>44</v>
      </c>
      <c r="G803">
        <v>110</v>
      </c>
      <c r="H803">
        <v>2</v>
      </c>
      <c r="I803" s="16">
        <f t="shared" si="138"/>
        <v>220</v>
      </c>
      <c r="J803">
        <v>1</v>
      </c>
      <c r="K803">
        <f t="shared" si="139"/>
        <v>110</v>
      </c>
      <c r="L803">
        <f t="shared" si="133"/>
        <v>1</v>
      </c>
      <c r="M803">
        <f t="shared" si="140"/>
        <v>110</v>
      </c>
      <c r="N803">
        <f t="shared" si="141"/>
        <v>27.5</v>
      </c>
      <c r="O803">
        <f t="shared" si="142"/>
        <v>82.5</v>
      </c>
      <c r="R803" s="21" t="str">
        <f t="shared" si="149"/>
        <v>Indiravin Kathai  by Sivasankari</v>
      </c>
    </row>
    <row r="804" spans="1:18" ht="18.3" x14ac:dyDescent="0.4">
      <c r="A804">
        <v>3538</v>
      </c>
      <c r="B804" t="s">
        <v>1682</v>
      </c>
      <c r="C804" t="s">
        <v>1640</v>
      </c>
      <c r="D804" t="s">
        <v>1683</v>
      </c>
      <c r="E804" t="s">
        <v>13</v>
      </c>
      <c r="F804" t="s">
        <v>44</v>
      </c>
      <c r="G804">
        <v>300</v>
      </c>
      <c r="H804">
        <v>2</v>
      </c>
      <c r="I804" s="16">
        <f t="shared" si="138"/>
        <v>600</v>
      </c>
      <c r="J804">
        <v>0</v>
      </c>
      <c r="K804">
        <f t="shared" si="139"/>
        <v>0</v>
      </c>
      <c r="L804">
        <f t="shared" ref="L804:L867" si="150">H804-J804</f>
        <v>2</v>
      </c>
      <c r="M804">
        <f t="shared" si="140"/>
        <v>600</v>
      </c>
      <c r="N804">
        <f t="shared" si="141"/>
        <v>150</v>
      </c>
      <c r="O804">
        <f t="shared" si="142"/>
        <v>450</v>
      </c>
      <c r="R804" s="21" t="str">
        <f t="shared" si="149"/>
        <v>Ini Thodarathu  by Sivasankari</v>
      </c>
    </row>
    <row r="805" spans="1:18" hidden="1" x14ac:dyDescent="0.3">
      <c r="A805">
        <v>3340</v>
      </c>
      <c r="B805" t="s">
        <v>1684</v>
      </c>
      <c r="C805" t="s">
        <v>1640</v>
      </c>
      <c r="D805" t="s">
        <v>1685</v>
      </c>
      <c r="E805" t="s">
        <v>13</v>
      </c>
      <c r="F805" t="s">
        <v>44</v>
      </c>
      <c r="G805">
        <v>100</v>
      </c>
      <c r="H805">
        <v>2</v>
      </c>
      <c r="I805" s="16">
        <f t="shared" si="138"/>
        <v>200</v>
      </c>
      <c r="J805">
        <v>2</v>
      </c>
      <c r="K805">
        <f t="shared" si="139"/>
        <v>200</v>
      </c>
      <c r="L805">
        <f t="shared" si="150"/>
        <v>0</v>
      </c>
      <c r="M805">
        <f t="shared" si="140"/>
        <v>0</v>
      </c>
      <c r="N805">
        <f t="shared" si="141"/>
        <v>0</v>
      </c>
      <c r="O805">
        <f t="shared" si="142"/>
        <v>0</v>
      </c>
    </row>
    <row r="806" spans="1:18" ht="18.3" x14ac:dyDescent="0.4">
      <c r="A806">
        <v>3602</v>
      </c>
      <c r="B806" t="s">
        <v>1686</v>
      </c>
      <c r="C806" t="s">
        <v>1640</v>
      </c>
      <c r="D806" t="s">
        <v>1687</v>
      </c>
      <c r="E806" t="s">
        <v>13</v>
      </c>
      <c r="F806" t="s">
        <v>44</v>
      </c>
      <c r="G806">
        <v>340</v>
      </c>
      <c r="H806">
        <v>2</v>
      </c>
      <c r="I806" s="16">
        <f t="shared" si="138"/>
        <v>680</v>
      </c>
      <c r="J806">
        <v>1</v>
      </c>
      <c r="K806">
        <f t="shared" si="139"/>
        <v>340</v>
      </c>
      <c r="L806">
        <f t="shared" si="150"/>
        <v>1</v>
      </c>
      <c r="M806">
        <f t="shared" si="140"/>
        <v>340</v>
      </c>
      <c r="N806">
        <f t="shared" si="141"/>
        <v>85</v>
      </c>
      <c r="O806">
        <f t="shared" si="142"/>
        <v>255</v>
      </c>
      <c r="R806" s="21" t="str">
        <f>_xlfn.TEXTJOIN("  by ",TRUE,B805,C805)</f>
        <v>Innoru Karanam  by Sivasankari</v>
      </c>
    </row>
    <row r="807" spans="1:18" hidden="1" x14ac:dyDescent="0.3">
      <c r="A807">
        <v>3341</v>
      </c>
      <c r="B807" t="s">
        <v>1688</v>
      </c>
      <c r="C807" t="s">
        <v>1640</v>
      </c>
      <c r="D807" t="s">
        <v>1689</v>
      </c>
      <c r="E807" t="s">
        <v>13</v>
      </c>
      <c r="F807" t="s">
        <v>44</v>
      </c>
      <c r="G807">
        <v>90</v>
      </c>
      <c r="H807">
        <v>2</v>
      </c>
      <c r="I807" s="16">
        <f t="shared" si="138"/>
        <v>180</v>
      </c>
      <c r="J807">
        <v>2</v>
      </c>
      <c r="K807">
        <f t="shared" si="139"/>
        <v>180</v>
      </c>
      <c r="L807">
        <f t="shared" si="150"/>
        <v>0</v>
      </c>
      <c r="M807">
        <f t="shared" si="140"/>
        <v>0</v>
      </c>
      <c r="N807">
        <f t="shared" si="141"/>
        <v>0</v>
      </c>
      <c r="O807">
        <f t="shared" si="142"/>
        <v>0</v>
      </c>
    </row>
    <row r="808" spans="1:18" ht="18.3" x14ac:dyDescent="0.4">
      <c r="A808">
        <v>3207</v>
      </c>
      <c r="B808" t="s">
        <v>1690</v>
      </c>
      <c r="C808" t="s">
        <v>1640</v>
      </c>
      <c r="D808" t="s">
        <v>1691</v>
      </c>
      <c r="E808" t="s">
        <v>13</v>
      </c>
      <c r="F808" t="s">
        <v>44</v>
      </c>
      <c r="G808">
        <v>90</v>
      </c>
      <c r="H808">
        <v>2</v>
      </c>
      <c r="I808" s="16">
        <f t="shared" si="138"/>
        <v>180</v>
      </c>
      <c r="J808">
        <v>1</v>
      </c>
      <c r="K808">
        <f t="shared" si="139"/>
        <v>90</v>
      </c>
      <c r="L808">
        <f t="shared" si="150"/>
        <v>1</v>
      </c>
      <c r="M808">
        <f t="shared" si="140"/>
        <v>90</v>
      </c>
      <c r="N808">
        <f t="shared" si="141"/>
        <v>22.5</v>
      </c>
      <c r="O808">
        <f t="shared" si="142"/>
        <v>67.5</v>
      </c>
      <c r="R808" s="21" t="str">
        <f t="shared" ref="R808:R809" si="151">_xlfn.TEXTJOIN("  by ",TRUE,B807,C807)</f>
        <v>Ithuvum Tajmahal Than  by Sivasankari</v>
      </c>
    </row>
    <row r="809" spans="1:18" ht="18.3" x14ac:dyDescent="0.4">
      <c r="A809">
        <v>3812</v>
      </c>
      <c r="B809" t="s">
        <v>1692</v>
      </c>
      <c r="C809" t="s">
        <v>1640</v>
      </c>
      <c r="D809" t="s">
        <v>1693</v>
      </c>
      <c r="E809" t="s">
        <v>13</v>
      </c>
      <c r="F809" t="s">
        <v>44</v>
      </c>
      <c r="G809">
        <v>130</v>
      </c>
      <c r="H809">
        <v>2</v>
      </c>
      <c r="I809" s="16">
        <f t="shared" si="138"/>
        <v>260</v>
      </c>
      <c r="J809">
        <v>1</v>
      </c>
      <c r="K809">
        <f t="shared" si="139"/>
        <v>130</v>
      </c>
      <c r="L809">
        <f t="shared" si="150"/>
        <v>1</v>
      </c>
      <c r="M809">
        <f t="shared" si="140"/>
        <v>130</v>
      </c>
      <c r="N809">
        <f t="shared" si="141"/>
        <v>32.5</v>
      </c>
      <c r="O809">
        <f t="shared" si="142"/>
        <v>97.5</v>
      </c>
      <c r="R809" s="21" t="str">
        <f t="shared" si="151"/>
        <v>Kaaranangal  by Sivasankari</v>
      </c>
    </row>
    <row r="810" spans="1:18" hidden="1" x14ac:dyDescent="0.3">
      <c r="A810">
        <v>3208</v>
      </c>
      <c r="B810" t="s">
        <v>1694</v>
      </c>
      <c r="C810" t="s">
        <v>1640</v>
      </c>
      <c r="D810" t="s">
        <v>1695</v>
      </c>
      <c r="E810" t="s">
        <v>13</v>
      </c>
      <c r="F810" t="s">
        <v>44</v>
      </c>
      <c r="G810">
        <v>120</v>
      </c>
      <c r="H810">
        <v>2</v>
      </c>
      <c r="I810" s="16">
        <f t="shared" si="138"/>
        <v>240</v>
      </c>
      <c r="J810">
        <v>2</v>
      </c>
      <c r="K810">
        <f t="shared" si="139"/>
        <v>240</v>
      </c>
      <c r="L810">
        <f t="shared" si="150"/>
        <v>0</v>
      </c>
      <c r="M810">
        <f t="shared" si="140"/>
        <v>0</v>
      </c>
      <c r="N810">
        <f t="shared" si="141"/>
        <v>0</v>
      </c>
      <c r="O810">
        <f t="shared" si="142"/>
        <v>0</v>
      </c>
    </row>
    <row r="811" spans="1:18" ht="18.3" x14ac:dyDescent="0.4">
      <c r="A811">
        <v>3118</v>
      </c>
      <c r="B811" t="s">
        <v>1696</v>
      </c>
      <c r="C811" t="s">
        <v>1640</v>
      </c>
      <c r="D811" t="s">
        <v>1697</v>
      </c>
      <c r="E811" t="s">
        <v>13</v>
      </c>
      <c r="F811" t="s">
        <v>44</v>
      </c>
      <c r="G811">
        <v>90</v>
      </c>
      <c r="H811">
        <v>2</v>
      </c>
      <c r="I811" s="16">
        <f t="shared" si="138"/>
        <v>180</v>
      </c>
      <c r="J811">
        <v>1</v>
      </c>
      <c r="K811">
        <f t="shared" si="139"/>
        <v>90</v>
      </c>
      <c r="L811">
        <f t="shared" si="150"/>
        <v>1</v>
      </c>
      <c r="M811">
        <f t="shared" si="140"/>
        <v>90</v>
      </c>
      <c r="N811">
        <f t="shared" si="141"/>
        <v>22.5</v>
      </c>
      <c r="O811">
        <f t="shared" si="142"/>
        <v>67.5</v>
      </c>
      <c r="R811" s="21" t="str">
        <f>_xlfn.TEXTJOIN("  by ",TRUE,B810,C810)</f>
        <v>Kadaisiyil  by Sivasankari</v>
      </c>
    </row>
    <row r="812" spans="1:18" hidden="1" x14ac:dyDescent="0.3">
      <c r="A812">
        <v>2511</v>
      </c>
      <c r="B812" t="s">
        <v>1698</v>
      </c>
      <c r="C812" t="s">
        <v>1640</v>
      </c>
      <c r="D812" t="s">
        <v>1699</v>
      </c>
      <c r="E812" t="s">
        <v>13</v>
      </c>
      <c r="F812" t="s">
        <v>44</v>
      </c>
      <c r="G812">
        <v>240</v>
      </c>
      <c r="H812">
        <v>2</v>
      </c>
      <c r="I812" s="16">
        <f t="shared" si="138"/>
        <v>480</v>
      </c>
      <c r="J812">
        <v>2</v>
      </c>
      <c r="K812">
        <f t="shared" si="139"/>
        <v>480</v>
      </c>
      <c r="L812">
        <f t="shared" si="150"/>
        <v>0</v>
      </c>
      <c r="M812">
        <f t="shared" si="140"/>
        <v>0</v>
      </c>
      <c r="N812">
        <f t="shared" si="141"/>
        <v>0</v>
      </c>
      <c r="O812">
        <f t="shared" si="142"/>
        <v>0</v>
      </c>
    </row>
    <row r="813" spans="1:18" hidden="1" x14ac:dyDescent="0.3">
      <c r="A813">
        <v>2513</v>
      </c>
      <c r="B813" t="s">
        <v>1700</v>
      </c>
      <c r="C813" t="s">
        <v>1640</v>
      </c>
      <c r="D813" t="s">
        <v>1701</v>
      </c>
      <c r="E813" t="s">
        <v>13</v>
      </c>
      <c r="F813" t="s">
        <v>44</v>
      </c>
      <c r="G813">
        <v>290</v>
      </c>
      <c r="H813">
        <v>2</v>
      </c>
      <c r="I813" s="16">
        <f t="shared" si="138"/>
        <v>580</v>
      </c>
      <c r="J813">
        <v>2</v>
      </c>
      <c r="K813">
        <f t="shared" si="139"/>
        <v>580</v>
      </c>
      <c r="L813">
        <f t="shared" si="150"/>
        <v>0</v>
      </c>
      <c r="M813">
        <f t="shared" si="140"/>
        <v>0</v>
      </c>
      <c r="N813">
        <f t="shared" si="141"/>
        <v>0</v>
      </c>
      <c r="O813">
        <f t="shared" si="142"/>
        <v>0</v>
      </c>
    </row>
    <row r="814" spans="1:18" ht="18.3" x14ac:dyDescent="0.4">
      <c r="A814">
        <v>3209</v>
      </c>
      <c r="B814" t="s">
        <v>1702</v>
      </c>
      <c r="C814" t="s">
        <v>1640</v>
      </c>
      <c r="D814" t="s">
        <v>1703</v>
      </c>
      <c r="E814" t="s">
        <v>13</v>
      </c>
      <c r="F814" t="s">
        <v>44</v>
      </c>
      <c r="G814">
        <v>130</v>
      </c>
      <c r="H814">
        <v>2</v>
      </c>
      <c r="I814" s="16">
        <f t="shared" si="138"/>
        <v>260</v>
      </c>
      <c r="J814">
        <v>0</v>
      </c>
      <c r="K814">
        <f t="shared" si="139"/>
        <v>0</v>
      </c>
      <c r="L814">
        <f t="shared" si="150"/>
        <v>2</v>
      </c>
      <c r="M814">
        <f t="shared" si="140"/>
        <v>260</v>
      </c>
      <c r="N814">
        <f t="shared" si="141"/>
        <v>65</v>
      </c>
      <c r="O814">
        <f t="shared" si="142"/>
        <v>195</v>
      </c>
      <c r="R814" s="21" t="str">
        <f>_xlfn.TEXTJOIN("  by ",TRUE,B813,C813)</f>
        <v>Karunai Kolai  by Sivasankari</v>
      </c>
    </row>
    <row r="815" spans="1:18" hidden="1" x14ac:dyDescent="0.3">
      <c r="A815">
        <v>4489</v>
      </c>
      <c r="B815" t="s">
        <v>1704</v>
      </c>
      <c r="C815" t="s">
        <v>1640</v>
      </c>
      <c r="D815" t="s">
        <v>1705</v>
      </c>
      <c r="E815" t="s">
        <v>13</v>
      </c>
      <c r="F815" t="s">
        <v>44</v>
      </c>
      <c r="G815">
        <v>160</v>
      </c>
      <c r="H815">
        <v>2</v>
      </c>
      <c r="I815" s="16">
        <f t="shared" si="138"/>
        <v>320</v>
      </c>
      <c r="J815">
        <v>2</v>
      </c>
      <c r="K815">
        <f t="shared" si="139"/>
        <v>320</v>
      </c>
      <c r="L815">
        <f t="shared" si="150"/>
        <v>0</v>
      </c>
      <c r="M815">
        <f t="shared" si="140"/>
        <v>0</v>
      </c>
      <c r="N815">
        <f t="shared" si="141"/>
        <v>0</v>
      </c>
      <c r="O815">
        <f t="shared" si="142"/>
        <v>0</v>
      </c>
    </row>
    <row r="816" spans="1:18" ht="18.3" x14ac:dyDescent="0.4">
      <c r="A816">
        <v>3505</v>
      </c>
      <c r="B816" t="s">
        <v>1706</v>
      </c>
      <c r="C816" t="s">
        <v>1640</v>
      </c>
      <c r="D816" t="s">
        <v>1707</v>
      </c>
      <c r="E816" t="s">
        <v>447</v>
      </c>
      <c r="F816" t="s">
        <v>44</v>
      </c>
      <c r="G816">
        <v>90</v>
      </c>
      <c r="H816">
        <v>2</v>
      </c>
      <c r="I816" s="16">
        <f t="shared" si="138"/>
        <v>180</v>
      </c>
      <c r="J816">
        <v>1</v>
      </c>
      <c r="K816">
        <f t="shared" si="139"/>
        <v>90</v>
      </c>
      <c r="L816">
        <f t="shared" si="150"/>
        <v>1</v>
      </c>
      <c r="M816">
        <f t="shared" si="140"/>
        <v>90</v>
      </c>
      <c r="N816">
        <f t="shared" si="141"/>
        <v>22.5</v>
      </c>
      <c r="O816">
        <f t="shared" si="142"/>
        <v>67.5</v>
      </c>
      <c r="R816" s="21" t="str">
        <f>_xlfn.TEXTJOIN("  by ",TRUE,B815,C815)</f>
        <v>Konjam Yosikkalame...  by Sivasankari</v>
      </c>
    </row>
    <row r="817" spans="1:18" hidden="1" x14ac:dyDescent="0.3">
      <c r="A817">
        <v>3136</v>
      </c>
      <c r="B817" t="s">
        <v>1708</v>
      </c>
      <c r="C817" t="s">
        <v>1640</v>
      </c>
      <c r="D817" t="s">
        <v>1709</v>
      </c>
      <c r="E817" t="s">
        <v>13</v>
      </c>
      <c r="F817" t="s">
        <v>44</v>
      </c>
      <c r="G817">
        <v>60</v>
      </c>
      <c r="H817">
        <v>2</v>
      </c>
      <c r="I817" s="16">
        <f t="shared" si="138"/>
        <v>120</v>
      </c>
      <c r="J817">
        <v>2</v>
      </c>
      <c r="K817">
        <f t="shared" si="139"/>
        <v>120</v>
      </c>
      <c r="L817">
        <f t="shared" si="150"/>
        <v>0</v>
      </c>
      <c r="M817">
        <f t="shared" si="140"/>
        <v>0</v>
      </c>
      <c r="N817">
        <f t="shared" si="141"/>
        <v>0</v>
      </c>
      <c r="O817">
        <f t="shared" si="142"/>
        <v>0</v>
      </c>
    </row>
    <row r="818" spans="1:18" ht="18.3" x14ac:dyDescent="0.4">
      <c r="A818">
        <v>2736</v>
      </c>
      <c r="B818" t="s">
        <v>1710</v>
      </c>
      <c r="C818" t="s">
        <v>1640</v>
      </c>
      <c r="D818" t="s">
        <v>1711</v>
      </c>
      <c r="E818" t="s">
        <v>13</v>
      </c>
      <c r="F818" t="s">
        <v>44</v>
      </c>
      <c r="G818">
        <v>240</v>
      </c>
      <c r="H818">
        <v>2</v>
      </c>
      <c r="I818" s="16">
        <f t="shared" si="138"/>
        <v>480</v>
      </c>
      <c r="J818">
        <v>1</v>
      </c>
      <c r="K818">
        <f t="shared" si="139"/>
        <v>240</v>
      </c>
      <c r="L818">
        <f t="shared" si="150"/>
        <v>1</v>
      </c>
      <c r="M818">
        <f t="shared" si="140"/>
        <v>240</v>
      </c>
      <c r="N818">
        <f t="shared" si="141"/>
        <v>60</v>
      </c>
      <c r="O818">
        <f t="shared" si="142"/>
        <v>180</v>
      </c>
      <c r="R818" s="21" t="str">
        <f t="shared" ref="R818:R819" si="152">_xlfn.TEXTJOIN("  by ",TRUE,B817,C817)</f>
        <v>Kuzhappangal  by Sivasankari</v>
      </c>
    </row>
    <row r="819" spans="1:18" ht="18.3" x14ac:dyDescent="0.4">
      <c r="A819">
        <v>2571</v>
      </c>
      <c r="B819" t="s">
        <v>1712</v>
      </c>
      <c r="C819" t="s">
        <v>1640</v>
      </c>
      <c r="D819" t="s">
        <v>1713</v>
      </c>
      <c r="E819" t="s">
        <v>13</v>
      </c>
      <c r="F819" t="s">
        <v>44</v>
      </c>
      <c r="G819">
        <v>410</v>
      </c>
      <c r="H819">
        <v>2</v>
      </c>
      <c r="I819" s="16">
        <f t="shared" si="138"/>
        <v>820</v>
      </c>
      <c r="J819">
        <v>1</v>
      </c>
      <c r="K819">
        <f t="shared" si="139"/>
        <v>410</v>
      </c>
      <c r="L819">
        <f t="shared" si="150"/>
        <v>1</v>
      </c>
      <c r="M819">
        <f t="shared" si="140"/>
        <v>410</v>
      </c>
      <c r="N819">
        <f t="shared" si="141"/>
        <v>102.5</v>
      </c>
      <c r="O819">
        <f t="shared" si="142"/>
        <v>307.5</v>
      </c>
      <c r="R819" s="21" t="str">
        <f t="shared" si="152"/>
        <v>Maalayil Pookkum Malargal  by Sivasankari</v>
      </c>
    </row>
    <row r="820" spans="1:18" hidden="1" x14ac:dyDescent="0.3">
      <c r="A820">
        <v>295</v>
      </c>
      <c r="B820" t="s">
        <v>1714</v>
      </c>
      <c r="C820" t="s">
        <v>1640</v>
      </c>
      <c r="D820" t="s">
        <v>1715</v>
      </c>
      <c r="E820" t="s">
        <v>13</v>
      </c>
      <c r="F820" t="s">
        <v>44</v>
      </c>
      <c r="G820">
        <v>130</v>
      </c>
      <c r="H820">
        <v>2</v>
      </c>
      <c r="I820" s="16">
        <f t="shared" si="138"/>
        <v>260</v>
      </c>
      <c r="J820">
        <v>2</v>
      </c>
      <c r="K820">
        <f t="shared" si="139"/>
        <v>260</v>
      </c>
      <c r="L820">
        <f t="shared" si="150"/>
        <v>0</v>
      </c>
      <c r="M820">
        <f t="shared" si="140"/>
        <v>0</v>
      </c>
      <c r="N820">
        <f t="shared" si="141"/>
        <v>0</v>
      </c>
      <c r="O820">
        <f t="shared" si="142"/>
        <v>0</v>
      </c>
    </row>
    <row r="821" spans="1:18" ht="18.3" x14ac:dyDescent="0.4">
      <c r="A821">
        <v>3342</v>
      </c>
      <c r="B821" t="s">
        <v>1716</v>
      </c>
      <c r="C821" t="s">
        <v>1640</v>
      </c>
      <c r="D821" t="s">
        <v>1717</v>
      </c>
      <c r="E821" t="s">
        <v>13</v>
      </c>
      <c r="F821" t="s">
        <v>44</v>
      </c>
      <c r="G821">
        <v>110</v>
      </c>
      <c r="H821">
        <v>2</v>
      </c>
      <c r="I821" s="16">
        <f t="shared" si="138"/>
        <v>220</v>
      </c>
      <c r="J821">
        <v>1</v>
      </c>
      <c r="K821">
        <f t="shared" si="139"/>
        <v>110</v>
      </c>
      <c r="L821">
        <f t="shared" si="150"/>
        <v>1</v>
      </c>
      <c r="M821">
        <f t="shared" si="140"/>
        <v>110</v>
      </c>
      <c r="N821">
        <f t="shared" si="141"/>
        <v>27.5</v>
      </c>
      <c r="O821">
        <f t="shared" si="142"/>
        <v>82.5</v>
      </c>
      <c r="R821" s="21" t="str">
        <f t="shared" ref="R821:R823" si="153">_xlfn.TEXTJOIN("  by ",TRUE,B820,C820)</f>
        <v>Mookkanaangayiru  by Sivasankari</v>
      </c>
    </row>
    <row r="822" spans="1:18" ht="18.3" x14ac:dyDescent="0.4">
      <c r="A822">
        <v>319</v>
      </c>
      <c r="B822" t="s">
        <v>1718</v>
      </c>
      <c r="C822" t="s">
        <v>1640</v>
      </c>
      <c r="D822" t="s">
        <v>1719</v>
      </c>
      <c r="E822" t="s">
        <v>13</v>
      </c>
      <c r="F822" t="s">
        <v>44</v>
      </c>
      <c r="G822">
        <v>260</v>
      </c>
      <c r="H822">
        <v>2</v>
      </c>
      <c r="I822" s="16">
        <f t="shared" si="138"/>
        <v>520</v>
      </c>
      <c r="J822">
        <v>1</v>
      </c>
      <c r="K822">
        <f t="shared" si="139"/>
        <v>260</v>
      </c>
      <c r="L822">
        <f t="shared" si="150"/>
        <v>1</v>
      </c>
      <c r="M822">
        <f t="shared" si="140"/>
        <v>260</v>
      </c>
      <c r="N822">
        <f t="shared" si="141"/>
        <v>65</v>
      </c>
      <c r="O822">
        <f t="shared" si="142"/>
        <v>195</v>
      </c>
      <c r="R822" s="21" t="str">
        <f t="shared" si="153"/>
        <v>Mudhal Konal  by Sivasankari</v>
      </c>
    </row>
    <row r="823" spans="1:18" ht="18.3" x14ac:dyDescent="0.4">
      <c r="A823">
        <v>3650</v>
      </c>
      <c r="B823" t="s">
        <v>1720</v>
      </c>
      <c r="C823" t="s">
        <v>1640</v>
      </c>
      <c r="D823" t="s">
        <v>1721</v>
      </c>
      <c r="E823" t="s">
        <v>13</v>
      </c>
      <c r="F823" t="s">
        <v>44</v>
      </c>
      <c r="G823">
        <v>240</v>
      </c>
      <c r="H823">
        <v>2</v>
      </c>
      <c r="I823" s="16">
        <f t="shared" si="138"/>
        <v>480</v>
      </c>
      <c r="J823">
        <v>0</v>
      </c>
      <c r="K823">
        <f t="shared" si="139"/>
        <v>0</v>
      </c>
      <c r="L823">
        <f t="shared" si="150"/>
        <v>2</v>
      </c>
      <c r="M823">
        <f t="shared" si="140"/>
        <v>480</v>
      </c>
      <c r="N823">
        <f t="shared" si="141"/>
        <v>120</v>
      </c>
      <c r="O823">
        <f t="shared" si="142"/>
        <v>360</v>
      </c>
      <c r="R823" s="21" t="str">
        <f t="shared" si="153"/>
        <v>Naan Naanaga...  by Sivasankari</v>
      </c>
    </row>
    <row r="824" spans="1:18" hidden="1" x14ac:dyDescent="0.3">
      <c r="A824">
        <v>322</v>
      </c>
      <c r="B824" t="s">
        <v>1722</v>
      </c>
      <c r="C824" t="s">
        <v>1640</v>
      </c>
      <c r="D824" t="s">
        <v>1723</v>
      </c>
      <c r="E824" t="s">
        <v>13</v>
      </c>
      <c r="F824" t="s">
        <v>44</v>
      </c>
      <c r="G824">
        <v>410</v>
      </c>
      <c r="H824">
        <v>2</v>
      </c>
      <c r="I824" s="16">
        <f t="shared" si="138"/>
        <v>820</v>
      </c>
      <c r="J824">
        <v>2</v>
      </c>
      <c r="K824">
        <f t="shared" si="139"/>
        <v>820</v>
      </c>
      <c r="L824">
        <f t="shared" si="150"/>
        <v>0</v>
      </c>
      <c r="M824">
        <f t="shared" si="140"/>
        <v>0</v>
      </c>
      <c r="N824">
        <f t="shared" si="141"/>
        <v>0</v>
      </c>
      <c r="O824">
        <f t="shared" si="142"/>
        <v>0</v>
      </c>
    </row>
    <row r="825" spans="1:18" ht="18.3" x14ac:dyDescent="0.4">
      <c r="A825">
        <v>3520</v>
      </c>
      <c r="B825" t="s">
        <v>1724</v>
      </c>
      <c r="C825" t="s">
        <v>1640</v>
      </c>
      <c r="D825" t="s">
        <v>1725</v>
      </c>
      <c r="E825" t="s">
        <v>13</v>
      </c>
      <c r="F825" t="s">
        <v>44</v>
      </c>
      <c r="G825">
        <v>170</v>
      </c>
      <c r="H825">
        <v>2</v>
      </c>
      <c r="I825" s="16">
        <f t="shared" si="138"/>
        <v>340</v>
      </c>
      <c r="J825">
        <v>1</v>
      </c>
      <c r="K825">
        <f t="shared" si="139"/>
        <v>170</v>
      </c>
      <c r="L825">
        <f t="shared" si="150"/>
        <v>1</v>
      </c>
      <c r="M825">
        <f t="shared" si="140"/>
        <v>170</v>
      </c>
      <c r="N825">
        <f t="shared" si="141"/>
        <v>42.5</v>
      </c>
      <c r="O825">
        <f t="shared" si="142"/>
        <v>127.5</v>
      </c>
      <c r="R825" s="21" t="str">
        <f t="shared" ref="R825:R834" si="154">_xlfn.TEXTJOIN("  by ",TRUE,B824,C824)</f>
        <v>Oru Manithanin Kathai  by Sivasankari</v>
      </c>
    </row>
    <row r="826" spans="1:18" ht="18.3" x14ac:dyDescent="0.4">
      <c r="A826">
        <v>3314</v>
      </c>
      <c r="B826" t="s">
        <v>1726</v>
      </c>
      <c r="C826" t="s">
        <v>1640</v>
      </c>
      <c r="D826" t="s">
        <v>1727</v>
      </c>
      <c r="E826" t="s">
        <v>13</v>
      </c>
      <c r="F826" t="s">
        <v>44</v>
      </c>
      <c r="G826">
        <v>120</v>
      </c>
      <c r="H826">
        <v>2</v>
      </c>
      <c r="I826" s="16">
        <f t="shared" si="138"/>
        <v>240</v>
      </c>
      <c r="J826">
        <v>1</v>
      </c>
      <c r="K826">
        <f t="shared" si="139"/>
        <v>120</v>
      </c>
      <c r="L826">
        <f t="shared" si="150"/>
        <v>1</v>
      </c>
      <c r="M826">
        <f t="shared" si="140"/>
        <v>120</v>
      </c>
      <c r="N826">
        <f t="shared" si="141"/>
        <v>30</v>
      </c>
      <c r="O826">
        <f t="shared" si="142"/>
        <v>90</v>
      </c>
      <c r="R826" s="21" t="str">
        <f t="shared" si="154"/>
        <v>Oru Pahal Oru Iravu  by Sivasankari</v>
      </c>
    </row>
    <row r="827" spans="1:18" ht="18.3" x14ac:dyDescent="0.4">
      <c r="A827">
        <v>2733</v>
      </c>
      <c r="B827" t="s">
        <v>1728</v>
      </c>
      <c r="C827" t="s">
        <v>1640</v>
      </c>
      <c r="D827" t="s">
        <v>1729</v>
      </c>
      <c r="E827" t="s">
        <v>13</v>
      </c>
      <c r="F827" t="s">
        <v>44</v>
      </c>
      <c r="G827">
        <v>180</v>
      </c>
      <c r="H827">
        <v>2</v>
      </c>
      <c r="I827" s="16">
        <f t="shared" si="138"/>
        <v>360</v>
      </c>
      <c r="J827">
        <v>1</v>
      </c>
      <c r="K827">
        <f t="shared" si="139"/>
        <v>180</v>
      </c>
      <c r="L827">
        <f t="shared" si="150"/>
        <v>1</v>
      </c>
      <c r="M827">
        <f t="shared" si="140"/>
        <v>180</v>
      </c>
      <c r="N827">
        <f t="shared" si="141"/>
        <v>45</v>
      </c>
      <c r="O827">
        <f t="shared" si="142"/>
        <v>135</v>
      </c>
      <c r="R827" s="21" t="str">
        <f t="shared" si="154"/>
        <v>Oru Singam Muyalagirathu  by Sivasankari</v>
      </c>
    </row>
    <row r="828" spans="1:18" ht="18.3" x14ac:dyDescent="0.4">
      <c r="A828">
        <v>2567</v>
      </c>
      <c r="B828" t="s">
        <v>1730</v>
      </c>
      <c r="C828" t="s">
        <v>1640</v>
      </c>
      <c r="D828" t="s">
        <v>1731</v>
      </c>
      <c r="E828" t="s">
        <v>13</v>
      </c>
      <c r="F828" t="s">
        <v>44</v>
      </c>
      <c r="G828">
        <v>100</v>
      </c>
      <c r="H828">
        <v>2</v>
      </c>
      <c r="I828" s="16">
        <f t="shared" si="138"/>
        <v>200</v>
      </c>
      <c r="J828">
        <v>1</v>
      </c>
      <c r="K828">
        <f t="shared" si="139"/>
        <v>100</v>
      </c>
      <c r="L828">
        <f t="shared" si="150"/>
        <v>1</v>
      </c>
      <c r="M828">
        <f t="shared" si="140"/>
        <v>100</v>
      </c>
      <c r="N828">
        <f t="shared" si="141"/>
        <v>25</v>
      </c>
      <c r="O828">
        <f t="shared" si="142"/>
        <v>75</v>
      </c>
      <c r="R828" s="21" t="str">
        <f t="shared" si="154"/>
        <v>Ottrai Paravai  by Sivasankari</v>
      </c>
    </row>
    <row r="829" spans="1:18" ht="18.3" x14ac:dyDescent="0.4">
      <c r="A829">
        <v>318</v>
      </c>
      <c r="B829" t="s">
        <v>1732</v>
      </c>
      <c r="C829" t="s">
        <v>1640</v>
      </c>
      <c r="D829" t="s">
        <v>1733</v>
      </c>
      <c r="E829" t="s">
        <v>13</v>
      </c>
      <c r="F829" t="s">
        <v>44</v>
      </c>
      <c r="G829">
        <v>360</v>
      </c>
      <c r="H829">
        <v>2</v>
      </c>
      <c r="I829" s="16">
        <f t="shared" si="138"/>
        <v>720</v>
      </c>
      <c r="J829">
        <v>1</v>
      </c>
      <c r="K829">
        <f t="shared" si="139"/>
        <v>360</v>
      </c>
      <c r="L829">
        <f t="shared" si="150"/>
        <v>1</v>
      </c>
      <c r="M829">
        <f t="shared" si="140"/>
        <v>360</v>
      </c>
      <c r="N829">
        <f t="shared" si="141"/>
        <v>90</v>
      </c>
      <c r="O829">
        <f t="shared" si="142"/>
        <v>270</v>
      </c>
      <c r="R829" s="21" t="str">
        <f t="shared" si="154"/>
        <v>Overdose  by Sivasankari</v>
      </c>
    </row>
    <row r="830" spans="1:18" ht="18.3" x14ac:dyDescent="0.4">
      <c r="A830">
        <v>13060</v>
      </c>
      <c r="B830" t="s">
        <v>1734</v>
      </c>
      <c r="C830" t="s">
        <v>1640</v>
      </c>
      <c r="D830" t="s">
        <v>1733</v>
      </c>
      <c r="E830" t="s">
        <v>13</v>
      </c>
      <c r="F830" t="s">
        <v>44</v>
      </c>
      <c r="G830">
        <v>660</v>
      </c>
      <c r="H830">
        <v>2</v>
      </c>
      <c r="I830" s="16">
        <f t="shared" si="138"/>
        <v>1320</v>
      </c>
      <c r="J830">
        <v>0</v>
      </c>
      <c r="K830">
        <f t="shared" si="139"/>
        <v>0</v>
      </c>
      <c r="L830">
        <f t="shared" si="150"/>
        <v>2</v>
      </c>
      <c r="M830">
        <f t="shared" si="140"/>
        <v>1320</v>
      </c>
      <c r="N830">
        <f t="shared" si="141"/>
        <v>330</v>
      </c>
      <c r="O830">
        <f t="shared" si="142"/>
        <v>990</v>
      </c>
      <c r="R830" s="21" t="str">
        <f t="shared" si="154"/>
        <v>Paalangal  by Sivasankari</v>
      </c>
    </row>
    <row r="831" spans="1:18" ht="18.3" x14ac:dyDescent="0.4">
      <c r="A831">
        <v>3057</v>
      </c>
      <c r="B831" t="s">
        <v>1735</v>
      </c>
      <c r="C831" t="s">
        <v>1640</v>
      </c>
      <c r="D831" t="s">
        <v>1736</v>
      </c>
      <c r="E831" t="s">
        <v>13</v>
      </c>
      <c r="F831" t="s">
        <v>44</v>
      </c>
      <c r="G831">
        <v>50</v>
      </c>
      <c r="H831">
        <v>2</v>
      </c>
      <c r="I831" s="16">
        <f t="shared" si="138"/>
        <v>100</v>
      </c>
      <c r="J831">
        <v>1</v>
      </c>
      <c r="K831">
        <f t="shared" si="139"/>
        <v>50</v>
      </c>
      <c r="L831">
        <f t="shared" si="150"/>
        <v>1</v>
      </c>
      <c r="M831">
        <f t="shared" si="140"/>
        <v>50</v>
      </c>
      <c r="N831">
        <f t="shared" si="141"/>
        <v>12.5</v>
      </c>
      <c r="O831">
        <f t="shared" si="142"/>
        <v>37.5</v>
      </c>
      <c r="R831" s="21" t="str">
        <f t="shared" si="154"/>
        <v>Paalangal - Classic Edition  by Sivasankari</v>
      </c>
    </row>
    <row r="832" spans="1:18" ht="18.3" x14ac:dyDescent="0.4">
      <c r="A832">
        <v>3211</v>
      </c>
      <c r="B832" t="s">
        <v>1737</v>
      </c>
      <c r="C832" t="s">
        <v>1640</v>
      </c>
      <c r="D832" t="s">
        <v>1738</v>
      </c>
      <c r="E832" t="s">
        <v>13</v>
      </c>
      <c r="F832" t="s">
        <v>44</v>
      </c>
      <c r="G832">
        <v>110</v>
      </c>
      <c r="H832">
        <v>2</v>
      </c>
      <c r="I832" s="16">
        <f t="shared" si="138"/>
        <v>220</v>
      </c>
      <c r="J832">
        <v>1</v>
      </c>
      <c r="K832">
        <f t="shared" si="139"/>
        <v>110</v>
      </c>
      <c r="L832">
        <f t="shared" si="150"/>
        <v>1</v>
      </c>
      <c r="M832">
        <f t="shared" si="140"/>
        <v>110</v>
      </c>
      <c r="N832">
        <f t="shared" si="141"/>
        <v>27.5</v>
      </c>
      <c r="O832">
        <f t="shared" si="142"/>
        <v>82.5</v>
      </c>
      <c r="R832" s="21" t="str">
        <f t="shared" si="154"/>
        <v>Paarvai  by Sivasankari</v>
      </c>
    </row>
    <row r="833" spans="1:18" ht="18.3" x14ac:dyDescent="0.4">
      <c r="A833">
        <v>355</v>
      </c>
      <c r="B833" t="s">
        <v>1739</v>
      </c>
      <c r="C833" t="s">
        <v>1640</v>
      </c>
      <c r="D833" t="s">
        <v>1740</v>
      </c>
      <c r="E833" t="s">
        <v>13</v>
      </c>
      <c r="F833" t="s">
        <v>14</v>
      </c>
      <c r="G833">
        <v>80</v>
      </c>
      <c r="H833">
        <v>2</v>
      </c>
      <c r="I833" s="16">
        <f t="shared" si="138"/>
        <v>160</v>
      </c>
      <c r="J833">
        <v>1</v>
      </c>
      <c r="K833">
        <f t="shared" si="139"/>
        <v>80</v>
      </c>
      <c r="L833">
        <f t="shared" si="150"/>
        <v>1</v>
      </c>
      <c r="M833">
        <f t="shared" si="140"/>
        <v>80</v>
      </c>
      <c r="N833">
        <f t="shared" si="141"/>
        <v>20</v>
      </c>
      <c r="O833">
        <f t="shared" si="142"/>
        <v>60</v>
      </c>
      <c r="R833" s="21" t="str">
        <f t="shared" si="154"/>
        <v>Pachonthigal  by Sivasankari</v>
      </c>
    </row>
    <row r="834" spans="1:18" ht="18.3" x14ac:dyDescent="0.4">
      <c r="A834">
        <v>2798</v>
      </c>
      <c r="B834" t="s">
        <v>1741</v>
      </c>
      <c r="C834" t="s">
        <v>1640</v>
      </c>
      <c r="D834" t="s">
        <v>1742</v>
      </c>
      <c r="E834" t="s">
        <v>13</v>
      </c>
      <c r="F834" t="s">
        <v>44</v>
      </c>
      <c r="G834">
        <v>160</v>
      </c>
      <c r="H834">
        <v>2</v>
      </c>
      <c r="I834" s="16">
        <f t="shared" si="138"/>
        <v>320</v>
      </c>
      <c r="J834">
        <v>1</v>
      </c>
      <c r="K834">
        <f t="shared" si="139"/>
        <v>160</v>
      </c>
      <c r="L834">
        <f t="shared" si="150"/>
        <v>1</v>
      </c>
      <c r="M834">
        <f t="shared" si="140"/>
        <v>160</v>
      </c>
      <c r="N834">
        <f t="shared" si="141"/>
        <v>40</v>
      </c>
      <c r="O834">
        <f t="shared" si="142"/>
        <v>120</v>
      </c>
      <c r="R834" s="21" t="str">
        <f t="shared" si="154"/>
        <v>Payirai Meyum Veligal  by Sivasankari</v>
      </c>
    </row>
    <row r="835" spans="1:18" hidden="1" x14ac:dyDescent="0.3">
      <c r="B835" t="s">
        <v>1743</v>
      </c>
      <c r="C835" t="s">
        <v>1640</v>
      </c>
      <c r="D835" t="s">
        <v>1744</v>
      </c>
      <c r="E835" t="s">
        <v>13</v>
      </c>
      <c r="F835" t="s">
        <v>1238</v>
      </c>
      <c r="G835">
        <v>530</v>
      </c>
      <c r="H835">
        <v>2</v>
      </c>
      <c r="I835" s="16">
        <f t="shared" ref="I835:I898" si="155">H835*G835</f>
        <v>1060</v>
      </c>
      <c r="J835">
        <v>2</v>
      </c>
      <c r="K835">
        <f t="shared" ref="K835:K898" si="156">J835*G835</f>
        <v>1060</v>
      </c>
      <c r="L835">
        <f t="shared" si="150"/>
        <v>0</v>
      </c>
      <c r="M835">
        <f t="shared" ref="M835:M898" si="157">L835*G835</f>
        <v>0</v>
      </c>
      <c r="N835">
        <f t="shared" ref="N835:N898" si="158">M835*0.25</f>
        <v>0</v>
      </c>
      <c r="O835">
        <f t="shared" ref="O835:O898" si="159">M835-N835</f>
        <v>0</v>
      </c>
    </row>
    <row r="836" spans="1:18" hidden="1" x14ac:dyDescent="0.3">
      <c r="B836" t="s">
        <v>1745</v>
      </c>
      <c r="C836" t="s">
        <v>1640</v>
      </c>
      <c r="D836" t="s">
        <v>1746</v>
      </c>
      <c r="E836" t="s">
        <v>13</v>
      </c>
      <c r="F836" t="s">
        <v>1238</v>
      </c>
      <c r="G836">
        <v>440</v>
      </c>
      <c r="H836">
        <v>2</v>
      </c>
      <c r="I836" s="16">
        <f t="shared" si="155"/>
        <v>880</v>
      </c>
      <c r="J836">
        <v>2</v>
      </c>
      <c r="K836">
        <f t="shared" si="156"/>
        <v>880</v>
      </c>
      <c r="L836">
        <f t="shared" si="150"/>
        <v>0</v>
      </c>
      <c r="M836">
        <f t="shared" si="157"/>
        <v>0</v>
      </c>
      <c r="N836">
        <f t="shared" si="158"/>
        <v>0</v>
      </c>
      <c r="O836">
        <f t="shared" si="159"/>
        <v>0</v>
      </c>
    </row>
    <row r="837" spans="1:18" hidden="1" x14ac:dyDescent="0.3">
      <c r="A837">
        <v>3308</v>
      </c>
      <c r="B837" t="s">
        <v>1747</v>
      </c>
      <c r="C837" t="s">
        <v>1640</v>
      </c>
      <c r="D837" t="s">
        <v>1748</v>
      </c>
      <c r="E837" t="s">
        <v>13</v>
      </c>
      <c r="F837" t="s">
        <v>1238</v>
      </c>
      <c r="G837">
        <v>270</v>
      </c>
      <c r="H837">
        <v>2</v>
      </c>
      <c r="I837" s="16">
        <f t="shared" si="155"/>
        <v>540</v>
      </c>
      <c r="J837">
        <v>2</v>
      </c>
      <c r="K837">
        <f t="shared" si="156"/>
        <v>540</v>
      </c>
      <c r="L837">
        <f t="shared" si="150"/>
        <v>0</v>
      </c>
      <c r="M837">
        <f t="shared" si="157"/>
        <v>0</v>
      </c>
      <c r="N837">
        <f t="shared" si="158"/>
        <v>0</v>
      </c>
      <c r="O837">
        <f t="shared" si="159"/>
        <v>0</v>
      </c>
    </row>
    <row r="838" spans="1:18" hidden="1" x14ac:dyDescent="0.3">
      <c r="B838" t="s">
        <v>1749</v>
      </c>
      <c r="C838" t="s">
        <v>1640</v>
      </c>
      <c r="D838" t="s">
        <v>1750</v>
      </c>
      <c r="E838" t="s">
        <v>13</v>
      </c>
      <c r="F838" t="s">
        <v>1238</v>
      </c>
      <c r="G838">
        <v>280</v>
      </c>
      <c r="H838">
        <v>2</v>
      </c>
      <c r="I838" s="16">
        <f t="shared" si="155"/>
        <v>560</v>
      </c>
      <c r="J838">
        <v>2</v>
      </c>
      <c r="K838">
        <f t="shared" si="156"/>
        <v>560</v>
      </c>
      <c r="L838">
        <f t="shared" si="150"/>
        <v>0</v>
      </c>
      <c r="M838">
        <f t="shared" si="157"/>
        <v>0</v>
      </c>
      <c r="N838">
        <f t="shared" si="158"/>
        <v>0</v>
      </c>
      <c r="O838">
        <f t="shared" si="159"/>
        <v>0</v>
      </c>
    </row>
    <row r="839" spans="1:18" ht="18.3" x14ac:dyDescent="0.4">
      <c r="A839">
        <v>3059</v>
      </c>
      <c r="B839" t="s">
        <v>1751</v>
      </c>
      <c r="C839" t="s">
        <v>1640</v>
      </c>
      <c r="D839" t="s">
        <v>1752</v>
      </c>
      <c r="E839" t="s">
        <v>13</v>
      </c>
      <c r="F839" t="s">
        <v>44</v>
      </c>
      <c r="G839">
        <v>50</v>
      </c>
      <c r="H839">
        <v>2</v>
      </c>
      <c r="I839" s="16">
        <f t="shared" si="155"/>
        <v>100</v>
      </c>
      <c r="J839">
        <v>1</v>
      </c>
      <c r="K839">
        <f t="shared" si="156"/>
        <v>50</v>
      </c>
      <c r="L839">
        <f t="shared" si="150"/>
        <v>1</v>
      </c>
      <c r="M839">
        <f t="shared" si="157"/>
        <v>50</v>
      </c>
      <c r="N839">
        <f t="shared" si="158"/>
        <v>12.5</v>
      </c>
      <c r="O839">
        <f t="shared" si="159"/>
        <v>37.5</v>
      </c>
      <c r="R839" s="21" t="str">
        <f t="shared" ref="R839:R843" si="160">_xlfn.TEXTJOIN("  by ",TRUE,B838,C838)</f>
        <v>Puthuputhu Anubavangal Part-4  by Sivasankari</v>
      </c>
    </row>
    <row r="840" spans="1:18" ht="18.3" x14ac:dyDescent="0.4">
      <c r="A840">
        <v>3438</v>
      </c>
      <c r="B840" t="s">
        <v>1753</v>
      </c>
      <c r="C840" t="s">
        <v>1640</v>
      </c>
      <c r="D840" t="s">
        <v>1754</v>
      </c>
      <c r="E840" t="s">
        <v>13</v>
      </c>
      <c r="F840" t="s">
        <v>44</v>
      </c>
      <c r="G840">
        <v>190</v>
      </c>
      <c r="H840">
        <v>2</v>
      </c>
      <c r="I840" s="16">
        <f t="shared" si="155"/>
        <v>380</v>
      </c>
      <c r="J840">
        <v>0</v>
      </c>
      <c r="K840">
        <f t="shared" si="156"/>
        <v>0</v>
      </c>
      <c r="L840">
        <f t="shared" si="150"/>
        <v>2</v>
      </c>
      <c r="M840">
        <f t="shared" si="157"/>
        <v>380</v>
      </c>
      <c r="N840">
        <f t="shared" si="158"/>
        <v>95</v>
      </c>
      <c r="O840">
        <f t="shared" si="159"/>
        <v>285</v>
      </c>
      <c r="R840" s="21" t="str">
        <f t="shared" si="160"/>
        <v>Shantha Yen Azhugiral?  by Sivasankari</v>
      </c>
    </row>
    <row r="841" spans="1:18" ht="18.3" x14ac:dyDescent="0.4">
      <c r="A841">
        <v>11560</v>
      </c>
      <c r="B841" t="s">
        <v>1755</v>
      </c>
      <c r="C841" t="s">
        <v>1640</v>
      </c>
      <c r="D841" t="s">
        <v>1756</v>
      </c>
      <c r="E841" t="s">
        <v>13</v>
      </c>
      <c r="F841" t="s">
        <v>44</v>
      </c>
      <c r="G841">
        <v>210</v>
      </c>
      <c r="H841">
        <v>2</v>
      </c>
      <c r="I841" s="16">
        <f t="shared" si="155"/>
        <v>420</v>
      </c>
      <c r="J841">
        <v>0</v>
      </c>
      <c r="K841">
        <f t="shared" si="156"/>
        <v>0</v>
      </c>
      <c r="L841">
        <f t="shared" si="150"/>
        <v>2</v>
      </c>
      <c r="M841">
        <f t="shared" si="157"/>
        <v>420</v>
      </c>
      <c r="N841">
        <f t="shared" si="158"/>
        <v>105</v>
      </c>
      <c r="O841">
        <f t="shared" si="159"/>
        <v>315</v>
      </c>
      <c r="R841" s="21" t="str">
        <f t="shared" si="160"/>
        <v>Sivasankari Sirukathaigal Irandam Thoguppu  by Sivasankari</v>
      </c>
    </row>
    <row r="842" spans="1:18" ht="18.3" x14ac:dyDescent="0.4">
      <c r="A842">
        <v>3363</v>
      </c>
      <c r="B842" t="s">
        <v>1757</v>
      </c>
      <c r="C842" t="s">
        <v>1640</v>
      </c>
      <c r="D842" t="s">
        <v>1758</v>
      </c>
      <c r="E842" t="s">
        <v>13</v>
      </c>
      <c r="F842" t="s">
        <v>44</v>
      </c>
      <c r="G842">
        <v>240</v>
      </c>
      <c r="H842">
        <v>2</v>
      </c>
      <c r="I842" s="16">
        <f t="shared" si="155"/>
        <v>480</v>
      </c>
      <c r="J842">
        <v>0</v>
      </c>
      <c r="K842">
        <f t="shared" si="156"/>
        <v>0</v>
      </c>
      <c r="L842">
        <f t="shared" si="150"/>
        <v>2</v>
      </c>
      <c r="M842">
        <f t="shared" si="157"/>
        <v>480</v>
      </c>
      <c r="N842">
        <f t="shared" si="158"/>
        <v>120</v>
      </c>
      <c r="O842">
        <f t="shared" si="159"/>
        <v>360</v>
      </c>
      <c r="R842" s="21" t="str">
        <f t="shared" si="160"/>
        <v>Sivasankari Sirukathaigal Moondram Thoguppu  by Sivasankari</v>
      </c>
    </row>
    <row r="843" spans="1:18" ht="18.3" x14ac:dyDescent="0.4">
      <c r="A843">
        <v>11561</v>
      </c>
      <c r="B843" t="s">
        <v>1759</v>
      </c>
      <c r="C843" t="s">
        <v>1640</v>
      </c>
      <c r="D843" t="s">
        <v>1760</v>
      </c>
      <c r="E843" t="s">
        <v>13</v>
      </c>
      <c r="F843" t="s">
        <v>44</v>
      </c>
      <c r="G843">
        <v>190</v>
      </c>
      <c r="H843">
        <v>2</v>
      </c>
      <c r="I843" s="16">
        <f t="shared" si="155"/>
        <v>380</v>
      </c>
      <c r="J843">
        <v>0</v>
      </c>
      <c r="K843">
        <f t="shared" si="156"/>
        <v>0</v>
      </c>
      <c r="L843">
        <f t="shared" si="150"/>
        <v>2</v>
      </c>
      <c r="M843">
        <f t="shared" si="157"/>
        <v>380</v>
      </c>
      <c r="N843">
        <f t="shared" si="158"/>
        <v>95</v>
      </c>
      <c r="O843">
        <f t="shared" si="159"/>
        <v>285</v>
      </c>
      <c r="R843" s="21" t="str">
        <f t="shared" si="160"/>
        <v>Sivasankari Sirukathaigal Mudhal Thoguppu  by Sivasankari</v>
      </c>
    </row>
    <row r="844" spans="1:18" hidden="1" x14ac:dyDescent="0.3">
      <c r="A844">
        <v>3121</v>
      </c>
      <c r="B844" t="s">
        <v>1761</v>
      </c>
      <c r="C844" t="s">
        <v>1640</v>
      </c>
      <c r="D844" t="s">
        <v>1762</v>
      </c>
      <c r="E844" t="s">
        <v>13</v>
      </c>
      <c r="F844" t="s">
        <v>44</v>
      </c>
      <c r="G844">
        <v>190</v>
      </c>
      <c r="H844">
        <v>2</v>
      </c>
      <c r="I844" s="16">
        <f t="shared" si="155"/>
        <v>380</v>
      </c>
      <c r="J844">
        <v>2</v>
      </c>
      <c r="K844">
        <f t="shared" si="156"/>
        <v>380</v>
      </c>
      <c r="L844">
        <f t="shared" si="150"/>
        <v>0</v>
      </c>
      <c r="M844">
        <f t="shared" si="157"/>
        <v>0</v>
      </c>
      <c r="N844">
        <f t="shared" si="158"/>
        <v>0</v>
      </c>
      <c r="O844">
        <f t="shared" si="159"/>
        <v>0</v>
      </c>
    </row>
    <row r="845" spans="1:18" ht="18.3" x14ac:dyDescent="0.4">
      <c r="A845">
        <v>5720</v>
      </c>
      <c r="B845" t="s">
        <v>1763</v>
      </c>
      <c r="C845" t="s">
        <v>1640</v>
      </c>
      <c r="D845" t="s">
        <v>1764</v>
      </c>
      <c r="E845" t="s">
        <v>13</v>
      </c>
      <c r="F845" t="s">
        <v>675</v>
      </c>
      <c r="G845">
        <v>370</v>
      </c>
      <c r="H845">
        <v>2</v>
      </c>
      <c r="I845" s="16">
        <f t="shared" si="155"/>
        <v>740</v>
      </c>
      <c r="J845">
        <v>0</v>
      </c>
      <c r="K845">
        <f t="shared" si="156"/>
        <v>0</v>
      </c>
      <c r="L845">
        <f t="shared" si="150"/>
        <v>2</v>
      </c>
      <c r="M845">
        <f t="shared" si="157"/>
        <v>740</v>
      </c>
      <c r="N845">
        <f t="shared" si="158"/>
        <v>185</v>
      </c>
      <c r="O845">
        <f t="shared" si="159"/>
        <v>555</v>
      </c>
      <c r="R845" s="21" t="str">
        <f t="shared" ref="R845:R847" si="161">_xlfn.TEXTJOIN("  by ",TRUE,B844,C844)</f>
        <v>Sura Meengal  by Sivasankari</v>
      </c>
    </row>
    <row r="846" spans="1:18" ht="18.3" x14ac:dyDescent="0.4">
      <c r="A846">
        <v>5769</v>
      </c>
      <c r="B846" t="s">
        <v>1765</v>
      </c>
      <c r="C846" t="s">
        <v>1640</v>
      </c>
      <c r="D846" t="s">
        <v>1766</v>
      </c>
      <c r="E846" t="s">
        <v>13</v>
      </c>
      <c r="F846" t="s">
        <v>675</v>
      </c>
      <c r="G846">
        <v>450</v>
      </c>
      <c r="H846">
        <v>2</v>
      </c>
      <c r="I846" s="16">
        <f t="shared" si="155"/>
        <v>900</v>
      </c>
      <c r="J846">
        <v>0</v>
      </c>
      <c r="K846">
        <f t="shared" si="156"/>
        <v>0</v>
      </c>
      <c r="L846">
        <f t="shared" si="150"/>
        <v>2</v>
      </c>
      <c r="M846">
        <f t="shared" si="157"/>
        <v>900</v>
      </c>
      <c r="N846">
        <f t="shared" si="158"/>
        <v>225</v>
      </c>
      <c r="O846">
        <f t="shared" si="159"/>
        <v>675</v>
      </c>
      <c r="R846" s="21" t="str">
        <f t="shared" si="161"/>
        <v>Suriya Vamsam - Part 1  by Sivasankari</v>
      </c>
    </row>
    <row r="847" spans="1:18" ht="18.3" x14ac:dyDescent="0.4">
      <c r="A847">
        <v>3040</v>
      </c>
      <c r="B847" t="s">
        <v>1767</v>
      </c>
      <c r="C847" t="s">
        <v>1640</v>
      </c>
      <c r="D847" t="s">
        <v>1768</v>
      </c>
      <c r="E847" t="s">
        <v>13</v>
      </c>
      <c r="F847" t="s">
        <v>44</v>
      </c>
      <c r="G847">
        <v>130</v>
      </c>
      <c r="H847">
        <v>2</v>
      </c>
      <c r="I847" s="16">
        <f t="shared" si="155"/>
        <v>260</v>
      </c>
      <c r="J847">
        <v>1</v>
      </c>
      <c r="K847">
        <f t="shared" si="156"/>
        <v>130</v>
      </c>
      <c r="L847">
        <f t="shared" si="150"/>
        <v>1</v>
      </c>
      <c r="M847">
        <f t="shared" si="157"/>
        <v>130</v>
      </c>
      <c r="N847">
        <f t="shared" si="158"/>
        <v>32.5</v>
      </c>
      <c r="O847">
        <f t="shared" si="159"/>
        <v>97.5</v>
      </c>
      <c r="R847" s="21" t="str">
        <f t="shared" si="161"/>
        <v>Suriya Vamsam - Part 2  by Sivasankari</v>
      </c>
    </row>
    <row r="848" spans="1:18" hidden="1" x14ac:dyDescent="0.3">
      <c r="A848">
        <v>3315</v>
      </c>
      <c r="B848" t="s">
        <v>1769</v>
      </c>
      <c r="C848" t="s">
        <v>1640</v>
      </c>
      <c r="D848" t="s">
        <v>1770</v>
      </c>
      <c r="E848" t="s">
        <v>13</v>
      </c>
      <c r="F848" t="s">
        <v>44</v>
      </c>
      <c r="G848">
        <v>120</v>
      </c>
      <c r="H848">
        <v>2</v>
      </c>
      <c r="I848" s="16">
        <f t="shared" si="155"/>
        <v>240</v>
      </c>
      <c r="J848">
        <v>2</v>
      </c>
      <c r="K848">
        <f t="shared" si="156"/>
        <v>240</v>
      </c>
      <c r="L848">
        <f t="shared" si="150"/>
        <v>0</v>
      </c>
      <c r="M848">
        <f t="shared" si="157"/>
        <v>0</v>
      </c>
      <c r="N848">
        <f t="shared" si="158"/>
        <v>0</v>
      </c>
      <c r="O848">
        <f t="shared" si="159"/>
        <v>0</v>
      </c>
    </row>
    <row r="849" spans="1:18" ht="18.3" x14ac:dyDescent="0.4">
      <c r="A849">
        <v>351</v>
      </c>
      <c r="B849" t="s">
        <v>1771</v>
      </c>
      <c r="C849" t="s">
        <v>1640</v>
      </c>
      <c r="D849" t="s">
        <v>1772</v>
      </c>
      <c r="E849" t="s">
        <v>13</v>
      </c>
      <c r="F849" t="s">
        <v>14</v>
      </c>
      <c r="G849">
        <v>150</v>
      </c>
      <c r="H849">
        <v>2</v>
      </c>
      <c r="I849" s="16">
        <f t="shared" si="155"/>
        <v>300</v>
      </c>
      <c r="J849">
        <v>1</v>
      </c>
      <c r="K849">
        <f t="shared" si="156"/>
        <v>150</v>
      </c>
      <c r="L849">
        <f t="shared" si="150"/>
        <v>1</v>
      </c>
      <c r="M849">
        <f t="shared" si="157"/>
        <v>150</v>
      </c>
      <c r="N849">
        <f t="shared" si="158"/>
        <v>37.5</v>
      </c>
      <c r="O849">
        <f t="shared" si="159"/>
        <v>112.5</v>
      </c>
      <c r="R849" s="21" t="str">
        <f>_xlfn.TEXTJOIN("  by ",TRUE,B848,C848)</f>
        <v>Thagappan Sami  by Sivasankari</v>
      </c>
    </row>
    <row r="850" spans="1:18" hidden="1" x14ac:dyDescent="0.3">
      <c r="A850">
        <v>350</v>
      </c>
      <c r="B850" t="s">
        <v>1773</v>
      </c>
      <c r="C850" t="s">
        <v>1640</v>
      </c>
      <c r="D850" t="s">
        <v>1774</v>
      </c>
      <c r="E850" t="s">
        <v>13</v>
      </c>
      <c r="F850" t="s">
        <v>14</v>
      </c>
      <c r="G850">
        <v>180</v>
      </c>
      <c r="H850">
        <v>2</v>
      </c>
      <c r="I850" s="16">
        <f t="shared" si="155"/>
        <v>360</v>
      </c>
      <c r="J850">
        <v>2</v>
      </c>
      <c r="K850">
        <f t="shared" si="156"/>
        <v>360</v>
      </c>
      <c r="L850">
        <f t="shared" si="150"/>
        <v>0</v>
      </c>
      <c r="M850">
        <f t="shared" si="157"/>
        <v>0</v>
      </c>
      <c r="N850">
        <f t="shared" si="158"/>
        <v>0</v>
      </c>
      <c r="O850">
        <f t="shared" si="159"/>
        <v>0</v>
      </c>
    </row>
    <row r="851" spans="1:18" ht="18.3" x14ac:dyDescent="0.4">
      <c r="A851">
        <v>3122</v>
      </c>
      <c r="B851" t="s">
        <v>1775</v>
      </c>
      <c r="C851" t="s">
        <v>1640</v>
      </c>
      <c r="D851" t="s">
        <v>1776</v>
      </c>
      <c r="E851" t="s">
        <v>13</v>
      </c>
      <c r="F851" t="s">
        <v>44</v>
      </c>
      <c r="G851">
        <v>110</v>
      </c>
      <c r="H851">
        <v>2</v>
      </c>
      <c r="I851" s="16">
        <f t="shared" si="155"/>
        <v>220</v>
      </c>
      <c r="J851">
        <v>1</v>
      </c>
      <c r="K851">
        <f t="shared" si="156"/>
        <v>110</v>
      </c>
      <c r="L851">
        <f t="shared" si="150"/>
        <v>1</v>
      </c>
      <c r="M851">
        <f t="shared" si="157"/>
        <v>110</v>
      </c>
      <c r="N851">
        <f t="shared" si="158"/>
        <v>27.5</v>
      </c>
      <c r="O851">
        <f t="shared" si="159"/>
        <v>82.5</v>
      </c>
      <c r="R851" s="21" t="str">
        <f>_xlfn.TEXTJOIN("  by ",TRUE,B850,C850)</f>
        <v>Thavam  by Sivasankari</v>
      </c>
    </row>
    <row r="852" spans="1:18" hidden="1" x14ac:dyDescent="0.3">
      <c r="A852">
        <v>4427</v>
      </c>
      <c r="B852" t="s">
        <v>1777</v>
      </c>
      <c r="C852" t="s">
        <v>1640</v>
      </c>
      <c r="D852" t="s">
        <v>1778</v>
      </c>
      <c r="E852" t="s">
        <v>13</v>
      </c>
      <c r="F852" t="s">
        <v>44</v>
      </c>
      <c r="G852">
        <v>240</v>
      </c>
      <c r="H852">
        <v>2</v>
      </c>
      <c r="I852" s="16">
        <f t="shared" si="155"/>
        <v>480</v>
      </c>
      <c r="J852">
        <v>2</v>
      </c>
      <c r="K852">
        <f t="shared" si="156"/>
        <v>480</v>
      </c>
      <c r="L852">
        <f t="shared" si="150"/>
        <v>0</v>
      </c>
      <c r="M852">
        <f t="shared" si="157"/>
        <v>0</v>
      </c>
      <c r="N852">
        <f t="shared" si="158"/>
        <v>0</v>
      </c>
      <c r="O852">
        <f t="shared" si="159"/>
        <v>0</v>
      </c>
    </row>
    <row r="853" spans="1:18" ht="18.3" x14ac:dyDescent="0.4">
      <c r="A853">
        <v>2562</v>
      </c>
      <c r="B853" t="s">
        <v>1779</v>
      </c>
      <c r="C853" t="s">
        <v>1640</v>
      </c>
      <c r="D853" t="s">
        <v>1780</v>
      </c>
      <c r="E853" t="s">
        <v>13</v>
      </c>
      <c r="F853" t="s">
        <v>44</v>
      </c>
      <c r="G853">
        <v>160</v>
      </c>
      <c r="H853">
        <v>2</v>
      </c>
      <c r="I853" s="16">
        <f t="shared" si="155"/>
        <v>320</v>
      </c>
      <c r="J853">
        <v>1</v>
      </c>
      <c r="K853">
        <f t="shared" si="156"/>
        <v>160</v>
      </c>
      <c r="L853">
        <f t="shared" si="150"/>
        <v>1</v>
      </c>
      <c r="M853">
        <f t="shared" si="157"/>
        <v>160</v>
      </c>
      <c r="N853">
        <f t="shared" si="158"/>
        <v>40</v>
      </c>
      <c r="O853">
        <f t="shared" si="159"/>
        <v>120</v>
      </c>
      <c r="R853" s="21" t="str">
        <f>_xlfn.TEXTJOIN("  by ",TRUE,B852,C852)</f>
        <v>Thirisangu Sorgam  by Sivasankari</v>
      </c>
    </row>
    <row r="854" spans="1:18" hidden="1" x14ac:dyDescent="0.3">
      <c r="A854">
        <v>3708</v>
      </c>
      <c r="B854" t="s">
        <v>1781</v>
      </c>
      <c r="C854" t="s">
        <v>1640</v>
      </c>
      <c r="D854" t="s">
        <v>1782</v>
      </c>
      <c r="E854" t="s">
        <v>447</v>
      </c>
      <c r="F854" t="s">
        <v>44</v>
      </c>
      <c r="G854">
        <v>290</v>
      </c>
      <c r="H854">
        <v>2</v>
      </c>
      <c r="I854" s="16">
        <f t="shared" si="155"/>
        <v>580</v>
      </c>
      <c r="J854">
        <v>2</v>
      </c>
      <c r="K854">
        <f t="shared" si="156"/>
        <v>580</v>
      </c>
      <c r="L854">
        <f t="shared" si="150"/>
        <v>0</v>
      </c>
      <c r="M854">
        <f t="shared" si="157"/>
        <v>0</v>
      </c>
      <c r="N854">
        <f t="shared" si="158"/>
        <v>0</v>
      </c>
      <c r="O854">
        <f t="shared" si="159"/>
        <v>0</v>
      </c>
    </row>
    <row r="855" spans="1:18" hidden="1" x14ac:dyDescent="0.3">
      <c r="A855">
        <v>4360</v>
      </c>
      <c r="B855" t="s">
        <v>1783</v>
      </c>
      <c r="C855" t="s">
        <v>1640</v>
      </c>
      <c r="D855" t="s">
        <v>1784</v>
      </c>
      <c r="E855" t="s">
        <v>13</v>
      </c>
      <c r="F855" t="s">
        <v>44</v>
      </c>
      <c r="G855">
        <v>240</v>
      </c>
      <c r="H855">
        <v>2</v>
      </c>
      <c r="I855" s="16">
        <f t="shared" si="155"/>
        <v>480</v>
      </c>
      <c r="J855">
        <v>2</v>
      </c>
      <c r="K855">
        <f t="shared" si="156"/>
        <v>480</v>
      </c>
      <c r="L855">
        <f t="shared" si="150"/>
        <v>0</v>
      </c>
      <c r="M855">
        <f t="shared" si="157"/>
        <v>0</v>
      </c>
      <c r="N855">
        <f t="shared" si="158"/>
        <v>0</v>
      </c>
      <c r="O855">
        <f t="shared" si="159"/>
        <v>0</v>
      </c>
    </row>
    <row r="856" spans="1:18" ht="18.3" x14ac:dyDescent="0.4">
      <c r="A856">
        <v>2735</v>
      </c>
      <c r="B856" t="s">
        <v>1785</v>
      </c>
      <c r="C856" t="s">
        <v>1640</v>
      </c>
      <c r="D856" t="s">
        <v>1786</v>
      </c>
      <c r="E856" t="s">
        <v>13</v>
      </c>
      <c r="F856" t="s">
        <v>44</v>
      </c>
      <c r="G856">
        <v>290</v>
      </c>
      <c r="H856">
        <v>2</v>
      </c>
      <c r="I856" s="16">
        <f t="shared" si="155"/>
        <v>580</v>
      </c>
      <c r="J856">
        <v>0</v>
      </c>
      <c r="K856">
        <f t="shared" si="156"/>
        <v>0</v>
      </c>
      <c r="L856">
        <f t="shared" si="150"/>
        <v>2</v>
      </c>
      <c r="M856">
        <f t="shared" si="157"/>
        <v>580</v>
      </c>
      <c r="N856">
        <f t="shared" si="158"/>
        <v>145</v>
      </c>
      <c r="O856">
        <f t="shared" si="159"/>
        <v>435</v>
      </c>
      <c r="R856" s="21" t="str">
        <f t="shared" ref="R856:R858" si="162">_xlfn.TEXTJOIN("  by ",TRUE,B855,C855)</f>
        <v>Uratha Sindhanai  by Sivasankari</v>
      </c>
    </row>
    <row r="857" spans="1:18" ht="18.3" x14ac:dyDescent="0.4">
      <c r="A857">
        <v>2732</v>
      </c>
      <c r="B857" t="s">
        <v>1787</v>
      </c>
      <c r="C857" t="s">
        <v>1640</v>
      </c>
      <c r="D857" t="s">
        <v>1788</v>
      </c>
      <c r="E857" t="s">
        <v>13</v>
      </c>
      <c r="F857" t="s">
        <v>44</v>
      </c>
      <c r="G857">
        <v>290</v>
      </c>
      <c r="H857">
        <v>2</v>
      </c>
      <c r="I857" s="16">
        <f t="shared" si="155"/>
        <v>580</v>
      </c>
      <c r="J857">
        <v>1</v>
      </c>
      <c r="K857">
        <f t="shared" si="156"/>
        <v>290</v>
      </c>
      <c r="L857">
        <f t="shared" si="150"/>
        <v>1</v>
      </c>
      <c r="M857">
        <f t="shared" si="157"/>
        <v>290</v>
      </c>
      <c r="N857">
        <f t="shared" si="158"/>
        <v>72.5</v>
      </c>
      <c r="O857">
        <f t="shared" si="159"/>
        <v>217.5</v>
      </c>
      <c r="R857" s="21" t="str">
        <f t="shared" si="162"/>
        <v>Vaanathu Nila  by Sivasankari</v>
      </c>
    </row>
    <row r="858" spans="1:18" ht="18.3" x14ac:dyDescent="0.4">
      <c r="A858">
        <v>4390</v>
      </c>
      <c r="B858" t="s">
        <v>1789</v>
      </c>
      <c r="C858" t="s">
        <v>1640</v>
      </c>
      <c r="D858" t="s">
        <v>1790</v>
      </c>
      <c r="E858" t="s">
        <v>13</v>
      </c>
      <c r="F858" t="s">
        <v>44</v>
      </c>
      <c r="G858">
        <v>280</v>
      </c>
      <c r="H858">
        <v>2</v>
      </c>
      <c r="I858" s="16">
        <f t="shared" si="155"/>
        <v>560</v>
      </c>
      <c r="J858">
        <v>1</v>
      </c>
      <c r="K858">
        <f t="shared" si="156"/>
        <v>280</v>
      </c>
      <c r="L858">
        <f t="shared" si="150"/>
        <v>1</v>
      </c>
      <c r="M858">
        <f t="shared" si="157"/>
        <v>280</v>
      </c>
      <c r="N858">
        <f t="shared" si="158"/>
        <v>70</v>
      </c>
      <c r="O858">
        <f t="shared" si="159"/>
        <v>210</v>
      </c>
      <c r="R858" s="21" t="str">
        <f t="shared" si="162"/>
        <v>Valartha Kada  by Sivasankari</v>
      </c>
    </row>
    <row r="859" spans="1:18" hidden="1" x14ac:dyDescent="0.3">
      <c r="A859">
        <v>2514</v>
      </c>
      <c r="B859" t="s">
        <v>1791</v>
      </c>
      <c r="C859" t="s">
        <v>1640</v>
      </c>
      <c r="D859" t="s">
        <v>1792</v>
      </c>
      <c r="E859" t="s">
        <v>13</v>
      </c>
      <c r="F859" t="s">
        <v>44</v>
      </c>
      <c r="G859">
        <v>150</v>
      </c>
      <c r="H859">
        <v>2</v>
      </c>
      <c r="I859" s="16">
        <f t="shared" si="155"/>
        <v>300</v>
      </c>
      <c r="J859">
        <v>2</v>
      </c>
      <c r="K859">
        <f t="shared" si="156"/>
        <v>300</v>
      </c>
      <c r="L859">
        <f t="shared" si="150"/>
        <v>0</v>
      </c>
      <c r="M859">
        <f t="shared" si="157"/>
        <v>0</v>
      </c>
      <c r="N859">
        <f t="shared" si="158"/>
        <v>0</v>
      </c>
      <c r="O859">
        <f t="shared" si="159"/>
        <v>0</v>
      </c>
    </row>
    <row r="860" spans="1:18" hidden="1" x14ac:dyDescent="0.3">
      <c r="A860">
        <v>3329</v>
      </c>
      <c r="B860" t="s">
        <v>1793</v>
      </c>
      <c r="C860" t="s">
        <v>1640</v>
      </c>
      <c r="D860" t="s">
        <v>1794</v>
      </c>
      <c r="E860" t="s">
        <v>13</v>
      </c>
      <c r="F860" t="s">
        <v>44</v>
      </c>
      <c r="G860">
        <v>110</v>
      </c>
      <c r="H860">
        <v>2</v>
      </c>
      <c r="I860" s="16">
        <f t="shared" si="155"/>
        <v>220</v>
      </c>
      <c r="J860">
        <v>2</v>
      </c>
      <c r="K860">
        <f t="shared" si="156"/>
        <v>220</v>
      </c>
      <c r="L860">
        <f t="shared" si="150"/>
        <v>0</v>
      </c>
      <c r="M860">
        <f t="shared" si="157"/>
        <v>0</v>
      </c>
      <c r="N860">
        <f t="shared" si="158"/>
        <v>0</v>
      </c>
      <c r="O860">
        <f t="shared" si="159"/>
        <v>0</v>
      </c>
    </row>
    <row r="861" spans="1:18" ht="18.3" x14ac:dyDescent="0.4">
      <c r="A861">
        <v>3312</v>
      </c>
      <c r="B861" t="s">
        <v>1795</v>
      </c>
      <c r="C861" t="s">
        <v>1640</v>
      </c>
      <c r="D861" t="s">
        <v>1796</v>
      </c>
      <c r="E861" t="s">
        <v>13</v>
      </c>
      <c r="F861" t="s">
        <v>44</v>
      </c>
      <c r="G861">
        <v>110</v>
      </c>
      <c r="H861">
        <v>2</v>
      </c>
      <c r="I861" s="16">
        <f t="shared" si="155"/>
        <v>220</v>
      </c>
      <c r="J861">
        <v>0</v>
      </c>
      <c r="K861">
        <f t="shared" si="156"/>
        <v>0</v>
      </c>
      <c r="L861">
        <f t="shared" si="150"/>
        <v>2</v>
      </c>
      <c r="M861">
        <f t="shared" si="157"/>
        <v>220</v>
      </c>
      <c r="N861">
        <f t="shared" si="158"/>
        <v>55</v>
      </c>
      <c r="O861">
        <f t="shared" si="159"/>
        <v>165</v>
      </c>
      <c r="R861" s="21" t="str">
        <f>_xlfn.TEXTJOIN("  by ",TRUE,B860,C860)</f>
        <v>Vilai  by Sivasankari</v>
      </c>
    </row>
    <row r="862" spans="1:18" hidden="1" x14ac:dyDescent="0.3">
      <c r="A862">
        <v>6105</v>
      </c>
      <c r="B862" t="s">
        <v>1797</v>
      </c>
      <c r="C862" t="s">
        <v>1640</v>
      </c>
      <c r="D862" t="s">
        <v>1798</v>
      </c>
      <c r="E862" t="s">
        <v>447</v>
      </c>
      <c r="F862" t="s">
        <v>44</v>
      </c>
      <c r="G862">
        <v>100</v>
      </c>
      <c r="H862">
        <v>2</v>
      </c>
      <c r="I862" s="16">
        <f t="shared" si="155"/>
        <v>200</v>
      </c>
      <c r="J862">
        <v>2</v>
      </c>
      <c r="K862">
        <f t="shared" si="156"/>
        <v>200</v>
      </c>
      <c r="L862">
        <f t="shared" si="150"/>
        <v>0</v>
      </c>
      <c r="M862">
        <f t="shared" si="157"/>
        <v>0</v>
      </c>
      <c r="N862">
        <f t="shared" si="158"/>
        <v>0</v>
      </c>
      <c r="O862">
        <f t="shared" si="159"/>
        <v>0</v>
      </c>
    </row>
    <row r="863" spans="1:18" ht="18.3" x14ac:dyDescent="0.4">
      <c r="A863">
        <v>3651</v>
      </c>
      <c r="B863" t="s">
        <v>1799</v>
      </c>
      <c r="C863" t="s">
        <v>1640</v>
      </c>
      <c r="D863" t="s">
        <v>1800</v>
      </c>
      <c r="E863" t="s">
        <v>13</v>
      </c>
      <c r="F863" t="s">
        <v>44</v>
      </c>
      <c r="G863">
        <v>300</v>
      </c>
      <c r="H863">
        <v>2</v>
      </c>
      <c r="I863" s="16">
        <f t="shared" si="155"/>
        <v>600</v>
      </c>
      <c r="J863">
        <v>1</v>
      </c>
      <c r="K863">
        <f t="shared" si="156"/>
        <v>300</v>
      </c>
      <c r="L863">
        <f t="shared" si="150"/>
        <v>1</v>
      </c>
      <c r="M863">
        <f t="shared" si="157"/>
        <v>300</v>
      </c>
      <c r="N863">
        <f t="shared" si="158"/>
        <v>75</v>
      </c>
      <c r="O863">
        <f t="shared" si="159"/>
        <v>225</v>
      </c>
      <c r="R863" s="21" t="str">
        <f t="shared" ref="R863:R864" si="163">_xlfn.TEXTJOIN("  by ",TRUE,B862,C862)</f>
        <v>Why Can't They?  by Sivasankari</v>
      </c>
    </row>
    <row r="864" spans="1:18" ht="18.3" x14ac:dyDescent="0.4">
      <c r="A864">
        <v>3327</v>
      </c>
      <c r="B864" t="s">
        <v>1801</v>
      </c>
      <c r="C864" t="s">
        <v>1640</v>
      </c>
      <c r="D864" t="s">
        <v>1802</v>
      </c>
      <c r="E864" t="s">
        <v>13</v>
      </c>
      <c r="F864" t="s">
        <v>14</v>
      </c>
      <c r="G864">
        <v>120</v>
      </c>
      <c r="H864">
        <v>2</v>
      </c>
      <c r="I864" s="16">
        <f t="shared" si="155"/>
        <v>240</v>
      </c>
      <c r="J864">
        <v>0</v>
      </c>
      <c r="K864">
        <f t="shared" si="156"/>
        <v>0</v>
      </c>
      <c r="L864">
        <f t="shared" si="150"/>
        <v>2</v>
      </c>
      <c r="M864">
        <f t="shared" si="157"/>
        <v>240</v>
      </c>
      <c r="N864">
        <f t="shared" si="158"/>
        <v>60</v>
      </c>
      <c r="O864">
        <f t="shared" si="159"/>
        <v>180</v>
      </c>
      <c r="R864" s="21" t="str">
        <f t="shared" si="163"/>
        <v>Yen?  by Sivasankari</v>
      </c>
    </row>
    <row r="865" spans="1:18" hidden="1" x14ac:dyDescent="0.3">
      <c r="B865" t="s">
        <v>1803</v>
      </c>
      <c r="C865" t="s">
        <v>1640</v>
      </c>
      <c r="D865" t="s">
        <v>1804</v>
      </c>
      <c r="E865" t="s">
        <v>13</v>
      </c>
      <c r="F865" t="s">
        <v>14</v>
      </c>
      <c r="G865">
        <v>270</v>
      </c>
      <c r="H865">
        <v>2</v>
      </c>
      <c r="I865" s="16">
        <f t="shared" si="155"/>
        <v>540</v>
      </c>
      <c r="J865">
        <v>2</v>
      </c>
      <c r="K865">
        <f t="shared" si="156"/>
        <v>540</v>
      </c>
      <c r="L865">
        <f t="shared" si="150"/>
        <v>0</v>
      </c>
      <c r="M865">
        <f t="shared" si="157"/>
        <v>0</v>
      </c>
      <c r="N865">
        <f t="shared" si="158"/>
        <v>0</v>
      </c>
      <c r="O865">
        <f t="shared" si="159"/>
        <v>0</v>
      </c>
    </row>
    <row r="866" spans="1:18" hidden="1" x14ac:dyDescent="0.3">
      <c r="B866" t="s">
        <v>1805</v>
      </c>
      <c r="C866" t="s">
        <v>1640</v>
      </c>
      <c r="D866" t="s">
        <v>1806</v>
      </c>
      <c r="E866" t="s">
        <v>13</v>
      </c>
      <c r="F866" t="s">
        <v>14</v>
      </c>
      <c r="G866">
        <v>130</v>
      </c>
      <c r="H866">
        <v>2</v>
      </c>
      <c r="I866" s="16">
        <f t="shared" si="155"/>
        <v>260</v>
      </c>
      <c r="J866">
        <v>2</v>
      </c>
      <c r="K866">
        <f t="shared" si="156"/>
        <v>260</v>
      </c>
      <c r="L866">
        <f t="shared" si="150"/>
        <v>0</v>
      </c>
      <c r="M866">
        <f t="shared" si="157"/>
        <v>0</v>
      </c>
      <c r="N866">
        <f t="shared" si="158"/>
        <v>0</v>
      </c>
      <c r="O866">
        <f t="shared" si="159"/>
        <v>0</v>
      </c>
    </row>
    <row r="867" spans="1:18" ht="18.3" x14ac:dyDescent="0.4">
      <c r="B867" t="s">
        <v>1807</v>
      </c>
      <c r="C867" t="s">
        <v>1640</v>
      </c>
      <c r="D867" t="s">
        <v>1808</v>
      </c>
      <c r="E867" t="s">
        <v>13</v>
      </c>
      <c r="F867" t="s">
        <v>14</v>
      </c>
      <c r="G867">
        <v>360</v>
      </c>
      <c r="H867">
        <v>2</v>
      </c>
      <c r="I867" s="16">
        <f t="shared" si="155"/>
        <v>720</v>
      </c>
      <c r="J867">
        <v>0</v>
      </c>
      <c r="K867">
        <f t="shared" si="156"/>
        <v>0</v>
      </c>
      <c r="L867">
        <f t="shared" si="150"/>
        <v>2</v>
      </c>
      <c r="M867">
        <f t="shared" si="157"/>
        <v>720</v>
      </c>
      <c r="N867">
        <f t="shared" si="158"/>
        <v>180</v>
      </c>
      <c r="O867">
        <f t="shared" si="159"/>
        <v>540</v>
      </c>
      <c r="R867" s="21" t="str">
        <f t="shared" ref="R867:R868" si="164">_xlfn.TEXTJOIN("  by ",TRUE,B866,C866)</f>
        <v>Avargalukku Puriyadhu  by Sivasankari</v>
      </c>
    </row>
    <row r="868" spans="1:18" ht="18.3" x14ac:dyDescent="0.4">
      <c r="B868" t="s">
        <v>1809</v>
      </c>
      <c r="C868" t="s">
        <v>1640</v>
      </c>
      <c r="D868" t="s">
        <v>1810</v>
      </c>
      <c r="E868" t="s">
        <v>13</v>
      </c>
      <c r="F868" t="s">
        <v>14</v>
      </c>
      <c r="G868">
        <v>310</v>
      </c>
      <c r="H868">
        <v>2</v>
      </c>
      <c r="I868" s="16">
        <f t="shared" si="155"/>
        <v>620</v>
      </c>
      <c r="J868">
        <v>0</v>
      </c>
      <c r="K868">
        <f t="shared" si="156"/>
        <v>0</v>
      </c>
      <c r="L868">
        <f t="shared" ref="L868:L931" si="165">H868-J868</f>
        <v>2</v>
      </c>
      <c r="M868">
        <f t="shared" si="157"/>
        <v>620</v>
      </c>
      <c r="N868">
        <f t="shared" si="158"/>
        <v>155</v>
      </c>
      <c r="O868">
        <f t="shared" si="159"/>
        <v>465</v>
      </c>
      <c r="R868" s="21" t="str">
        <f t="shared" si="164"/>
        <v>Suttamann  by Sivasankari</v>
      </c>
    </row>
    <row r="869" spans="1:18" hidden="1" x14ac:dyDescent="0.3">
      <c r="B869" t="s">
        <v>1811</v>
      </c>
      <c r="C869" t="s">
        <v>1640</v>
      </c>
      <c r="D869" t="s">
        <v>1812</v>
      </c>
      <c r="E869" t="s">
        <v>13</v>
      </c>
      <c r="F869" t="s">
        <v>14</v>
      </c>
      <c r="G869">
        <v>110</v>
      </c>
      <c r="H869">
        <v>2</v>
      </c>
      <c r="I869" s="16">
        <f t="shared" si="155"/>
        <v>220</v>
      </c>
      <c r="J869">
        <v>2</v>
      </c>
      <c r="K869">
        <f t="shared" si="156"/>
        <v>220</v>
      </c>
      <c r="L869">
        <f t="shared" si="165"/>
        <v>0</v>
      </c>
      <c r="M869">
        <f t="shared" si="157"/>
        <v>0</v>
      </c>
      <c r="N869">
        <f t="shared" si="158"/>
        <v>0</v>
      </c>
      <c r="O869">
        <f t="shared" si="159"/>
        <v>0</v>
      </c>
    </row>
    <row r="870" spans="1:18" ht="18.3" x14ac:dyDescent="0.4">
      <c r="B870" t="s">
        <v>1813</v>
      </c>
      <c r="C870" t="s">
        <v>1640</v>
      </c>
      <c r="D870" t="s">
        <v>1814</v>
      </c>
      <c r="E870" t="s">
        <v>13</v>
      </c>
      <c r="F870" t="s">
        <v>14</v>
      </c>
      <c r="G870">
        <v>100</v>
      </c>
      <c r="H870">
        <v>2</v>
      </c>
      <c r="I870" s="16">
        <f t="shared" si="155"/>
        <v>200</v>
      </c>
      <c r="J870">
        <v>1</v>
      </c>
      <c r="K870">
        <f t="shared" si="156"/>
        <v>100</v>
      </c>
      <c r="L870">
        <f t="shared" si="165"/>
        <v>1</v>
      </c>
      <c r="M870">
        <f t="shared" si="157"/>
        <v>100</v>
      </c>
      <c r="N870">
        <f t="shared" si="158"/>
        <v>25</v>
      </c>
      <c r="O870">
        <f t="shared" si="159"/>
        <v>75</v>
      </c>
      <c r="R870" s="21" t="str">
        <f>_xlfn.TEXTJOIN("  by ",TRUE,B869,C869)</f>
        <v>Rusi Kanda Poonai  by Sivasankari</v>
      </c>
    </row>
    <row r="871" spans="1:18" hidden="1" x14ac:dyDescent="0.3">
      <c r="B871" t="s">
        <v>1815</v>
      </c>
      <c r="C871" t="s">
        <v>1640</v>
      </c>
      <c r="D871" t="s">
        <v>1816</v>
      </c>
      <c r="E871" t="s">
        <v>13</v>
      </c>
      <c r="F871" t="s">
        <v>14</v>
      </c>
      <c r="G871">
        <v>340</v>
      </c>
      <c r="H871">
        <v>2</v>
      </c>
      <c r="I871" s="16">
        <f t="shared" si="155"/>
        <v>680</v>
      </c>
      <c r="J871">
        <v>2</v>
      </c>
      <c r="K871">
        <f t="shared" si="156"/>
        <v>680</v>
      </c>
      <c r="L871">
        <f t="shared" si="165"/>
        <v>0</v>
      </c>
      <c r="M871">
        <f t="shared" si="157"/>
        <v>0</v>
      </c>
      <c r="N871">
        <f t="shared" si="158"/>
        <v>0</v>
      </c>
      <c r="O871">
        <f t="shared" si="159"/>
        <v>0</v>
      </c>
    </row>
    <row r="872" spans="1:18" hidden="1" x14ac:dyDescent="0.3">
      <c r="A872">
        <v>5988</v>
      </c>
      <c r="B872" t="s">
        <v>1817</v>
      </c>
      <c r="C872" t="s">
        <v>1818</v>
      </c>
      <c r="D872" t="s">
        <v>1819</v>
      </c>
      <c r="E872" t="s">
        <v>13</v>
      </c>
      <c r="F872" t="s">
        <v>116</v>
      </c>
      <c r="G872">
        <v>90</v>
      </c>
      <c r="H872">
        <v>2</v>
      </c>
      <c r="I872" s="16">
        <f t="shared" si="155"/>
        <v>180</v>
      </c>
      <c r="J872">
        <v>2</v>
      </c>
      <c r="K872">
        <f t="shared" si="156"/>
        <v>180</v>
      </c>
      <c r="L872">
        <f t="shared" si="165"/>
        <v>0</v>
      </c>
      <c r="M872">
        <f t="shared" si="157"/>
        <v>0</v>
      </c>
      <c r="N872">
        <f t="shared" si="158"/>
        <v>0</v>
      </c>
      <c r="O872">
        <f t="shared" si="159"/>
        <v>0</v>
      </c>
    </row>
    <row r="873" spans="1:18" ht="18.3" x14ac:dyDescent="0.4">
      <c r="A873">
        <v>5968</v>
      </c>
      <c r="B873" t="s">
        <v>1820</v>
      </c>
      <c r="C873" t="s">
        <v>1818</v>
      </c>
      <c r="D873" t="s">
        <v>1821</v>
      </c>
      <c r="E873" t="s">
        <v>13</v>
      </c>
      <c r="F873" t="s">
        <v>116</v>
      </c>
      <c r="G873">
        <v>120</v>
      </c>
      <c r="H873">
        <v>2</v>
      </c>
      <c r="I873" s="16">
        <f t="shared" si="155"/>
        <v>240</v>
      </c>
      <c r="J873">
        <v>0</v>
      </c>
      <c r="K873">
        <f t="shared" si="156"/>
        <v>0</v>
      </c>
      <c r="L873">
        <f t="shared" si="165"/>
        <v>2</v>
      </c>
      <c r="M873">
        <f t="shared" si="157"/>
        <v>240</v>
      </c>
      <c r="N873">
        <f t="shared" si="158"/>
        <v>60</v>
      </c>
      <c r="O873">
        <f t="shared" si="159"/>
        <v>180</v>
      </c>
      <c r="R873" s="21" t="str">
        <f>_xlfn.TEXTJOIN("  by ",TRUE,B872,C872)</f>
        <v>Adimai Rajyam  by Subha</v>
      </c>
    </row>
    <row r="874" spans="1:18" hidden="1" x14ac:dyDescent="0.3">
      <c r="A874">
        <v>327</v>
      </c>
      <c r="B874" t="s">
        <v>1822</v>
      </c>
      <c r="C874" t="s">
        <v>1818</v>
      </c>
      <c r="D874" t="s">
        <v>1823</v>
      </c>
      <c r="E874" t="s">
        <v>13</v>
      </c>
      <c r="F874" t="s">
        <v>44</v>
      </c>
      <c r="G874">
        <v>110</v>
      </c>
      <c r="H874">
        <v>2</v>
      </c>
      <c r="I874" s="16">
        <f t="shared" si="155"/>
        <v>220</v>
      </c>
      <c r="J874">
        <v>2</v>
      </c>
      <c r="K874">
        <f t="shared" si="156"/>
        <v>220</v>
      </c>
      <c r="L874">
        <f t="shared" si="165"/>
        <v>0</v>
      </c>
      <c r="M874">
        <f t="shared" si="157"/>
        <v>0</v>
      </c>
      <c r="N874">
        <f t="shared" si="158"/>
        <v>0</v>
      </c>
      <c r="O874">
        <f t="shared" si="159"/>
        <v>0</v>
      </c>
    </row>
    <row r="875" spans="1:18" hidden="1" x14ac:dyDescent="0.3">
      <c r="A875">
        <v>328</v>
      </c>
      <c r="B875" t="s">
        <v>1824</v>
      </c>
      <c r="C875" t="s">
        <v>1818</v>
      </c>
      <c r="D875" t="s">
        <v>1825</v>
      </c>
      <c r="E875" t="s">
        <v>13</v>
      </c>
      <c r="F875" t="s">
        <v>44</v>
      </c>
      <c r="G875">
        <v>120</v>
      </c>
      <c r="H875">
        <v>2</v>
      </c>
      <c r="I875" s="16">
        <f t="shared" si="155"/>
        <v>240</v>
      </c>
      <c r="J875">
        <v>2</v>
      </c>
      <c r="K875">
        <f t="shared" si="156"/>
        <v>240</v>
      </c>
      <c r="L875">
        <f t="shared" si="165"/>
        <v>0</v>
      </c>
      <c r="M875">
        <f t="shared" si="157"/>
        <v>0</v>
      </c>
      <c r="N875">
        <f t="shared" si="158"/>
        <v>0</v>
      </c>
      <c r="O875">
        <f t="shared" si="159"/>
        <v>0</v>
      </c>
    </row>
    <row r="876" spans="1:18" hidden="1" x14ac:dyDescent="0.3">
      <c r="A876">
        <v>9191</v>
      </c>
      <c r="B876" t="s">
        <v>1826</v>
      </c>
      <c r="C876" t="s">
        <v>1827</v>
      </c>
      <c r="D876" t="s">
        <v>1828</v>
      </c>
      <c r="E876" t="s">
        <v>13</v>
      </c>
      <c r="F876" t="s">
        <v>14</v>
      </c>
      <c r="G876">
        <v>100</v>
      </c>
      <c r="H876">
        <v>2</v>
      </c>
      <c r="I876" s="16">
        <f t="shared" si="155"/>
        <v>200</v>
      </c>
      <c r="J876">
        <v>2</v>
      </c>
      <c r="K876">
        <f t="shared" si="156"/>
        <v>200</v>
      </c>
      <c r="L876">
        <f t="shared" si="165"/>
        <v>0</v>
      </c>
      <c r="M876">
        <f t="shared" si="157"/>
        <v>0</v>
      </c>
      <c r="N876">
        <f t="shared" si="158"/>
        <v>0</v>
      </c>
      <c r="O876">
        <f t="shared" si="159"/>
        <v>0</v>
      </c>
    </row>
    <row r="877" spans="1:18" hidden="1" x14ac:dyDescent="0.3">
      <c r="A877">
        <v>8474</v>
      </c>
      <c r="B877" t="s">
        <v>1829</v>
      </c>
      <c r="C877" t="s">
        <v>1827</v>
      </c>
      <c r="D877" t="s">
        <v>1830</v>
      </c>
      <c r="E877" t="s">
        <v>13</v>
      </c>
      <c r="F877" t="s">
        <v>14</v>
      </c>
      <c r="G877">
        <v>120</v>
      </c>
      <c r="H877">
        <v>2</v>
      </c>
      <c r="I877" s="16">
        <f t="shared" si="155"/>
        <v>240</v>
      </c>
      <c r="J877">
        <v>2</v>
      </c>
      <c r="K877">
        <f t="shared" si="156"/>
        <v>240</v>
      </c>
      <c r="L877">
        <f t="shared" si="165"/>
        <v>0</v>
      </c>
      <c r="M877">
        <f t="shared" si="157"/>
        <v>0</v>
      </c>
      <c r="N877">
        <f t="shared" si="158"/>
        <v>0</v>
      </c>
      <c r="O877">
        <f t="shared" si="159"/>
        <v>0</v>
      </c>
    </row>
    <row r="878" spans="1:18" hidden="1" x14ac:dyDescent="0.3">
      <c r="A878">
        <v>8355</v>
      </c>
      <c r="B878" t="s">
        <v>1831</v>
      </c>
      <c r="C878" t="s">
        <v>1827</v>
      </c>
      <c r="D878" t="s">
        <v>1832</v>
      </c>
      <c r="E878" t="s">
        <v>13</v>
      </c>
      <c r="F878" t="s">
        <v>44</v>
      </c>
      <c r="G878">
        <v>160</v>
      </c>
      <c r="H878">
        <v>2</v>
      </c>
      <c r="I878" s="16">
        <f t="shared" si="155"/>
        <v>320</v>
      </c>
      <c r="J878">
        <v>2</v>
      </c>
      <c r="K878">
        <f t="shared" si="156"/>
        <v>320</v>
      </c>
      <c r="L878">
        <f t="shared" si="165"/>
        <v>0</v>
      </c>
      <c r="M878">
        <f t="shared" si="157"/>
        <v>0</v>
      </c>
      <c r="N878">
        <f t="shared" si="158"/>
        <v>0</v>
      </c>
      <c r="O878">
        <f t="shared" si="159"/>
        <v>0</v>
      </c>
    </row>
    <row r="879" spans="1:18" hidden="1" x14ac:dyDescent="0.3">
      <c r="A879">
        <v>8735</v>
      </c>
      <c r="B879" t="s">
        <v>1833</v>
      </c>
      <c r="C879" t="s">
        <v>1827</v>
      </c>
      <c r="D879" t="s">
        <v>1834</v>
      </c>
      <c r="E879" t="s">
        <v>13</v>
      </c>
      <c r="F879" t="s">
        <v>14</v>
      </c>
      <c r="G879">
        <v>100</v>
      </c>
      <c r="H879">
        <v>2</v>
      </c>
      <c r="I879" s="16">
        <f t="shared" si="155"/>
        <v>200</v>
      </c>
      <c r="J879">
        <v>2</v>
      </c>
      <c r="K879">
        <f t="shared" si="156"/>
        <v>200</v>
      </c>
      <c r="L879">
        <f t="shared" si="165"/>
        <v>0</v>
      </c>
      <c r="M879">
        <f t="shared" si="157"/>
        <v>0</v>
      </c>
      <c r="N879">
        <f t="shared" si="158"/>
        <v>0</v>
      </c>
      <c r="O879">
        <f t="shared" si="159"/>
        <v>0</v>
      </c>
    </row>
    <row r="880" spans="1:18" hidden="1" x14ac:dyDescent="0.3">
      <c r="A880">
        <v>10048</v>
      </c>
      <c r="B880" t="s">
        <v>1835</v>
      </c>
      <c r="C880" t="s">
        <v>1827</v>
      </c>
      <c r="D880" t="s">
        <v>1836</v>
      </c>
      <c r="E880" t="s">
        <v>13</v>
      </c>
      <c r="F880" t="s">
        <v>44</v>
      </c>
      <c r="G880">
        <v>100</v>
      </c>
      <c r="H880">
        <v>2</v>
      </c>
      <c r="I880" s="16">
        <f t="shared" si="155"/>
        <v>200</v>
      </c>
      <c r="J880">
        <v>2</v>
      </c>
      <c r="K880">
        <f t="shared" si="156"/>
        <v>200</v>
      </c>
      <c r="L880">
        <f t="shared" si="165"/>
        <v>0</v>
      </c>
      <c r="M880">
        <f t="shared" si="157"/>
        <v>0</v>
      </c>
      <c r="N880">
        <f t="shared" si="158"/>
        <v>0</v>
      </c>
      <c r="O880">
        <f t="shared" si="159"/>
        <v>0</v>
      </c>
    </row>
    <row r="881" spans="1:18" hidden="1" x14ac:dyDescent="0.3">
      <c r="A881">
        <v>10297</v>
      </c>
      <c r="B881" t="s">
        <v>1837</v>
      </c>
      <c r="C881" t="s">
        <v>1827</v>
      </c>
      <c r="D881" t="s">
        <v>1838</v>
      </c>
      <c r="E881" t="s">
        <v>13</v>
      </c>
      <c r="F881" t="s">
        <v>1839</v>
      </c>
      <c r="G881">
        <v>70</v>
      </c>
      <c r="H881">
        <v>2</v>
      </c>
      <c r="I881" s="16">
        <f t="shared" si="155"/>
        <v>140</v>
      </c>
      <c r="J881">
        <v>2</v>
      </c>
      <c r="K881">
        <f t="shared" si="156"/>
        <v>140</v>
      </c>
      <c r="L881">
        <f t="shared" si="165"/>
        <v>0</v>
      </c>
      <c r="M881">
        <f t="shared" si="157"/>
        <v>0</v>
      </c>
      <c r="N881">
        <f t="shared" si="158"/>
        <v>0</v>
      </c>
      <c r="O881">
        <f t="shared" si="159"/>
        <v>0</v>
      </c>
    </row>
    <row r="882" spans="1:18" hidden="1" x14ac:dyDescent="0.3">
      <c r="A882">
        <v>9296</v>
      </c>
      <c r="B882" t="s">
        <v>1840</v>
      </c>
      <c r="C882" t="s">
        <v>1827</v>
      </c>
      <c r="D882" t="s">
        <v>1841</v>
      </c>
      <c r="E882" t="s">
        <v>13</v>
      </c>
      <c r="F882" t="s">
        <v>14</v>
      </c>
      <c r="G882">
        <v>100</v>
      </c>
      <c r="H882">
        <v>2</v>
      </c>
      <c r="I882" s="16">
        <f t="shared" si="155"/>
        <v>200</v>
      </c>
      <c r="J882">
        <v>2</v>
      </c>
      <c r="K882">
        <f t="shared" si="156"/>
        <v>200</v>
      </c>
      <c r="L882">
        <f t="shared" si="165"/>
        <v>0</v>
      </c>
      <c r="M882">
        <f t="shared" si="157"/>
        <v>0</v>
      </c>
      <c r="N882">
        <f t="shared" si="158"/>
        <v>0</v>
      </c>
      <c r="O882">
        <f t="shared" si="159"/>
        <v>0</v>
      </c>
    </row>
    <row r="883" spans="1:18" ht="18.3" x14ac:dyDescent="0.4">
      <c r="A883">
        <v>9486</v>
      </c>
      <c r="B883" t="s">
        <v>1842</v>
      </c>
      <c r="C883" t="s">
        <v>1827</v>
      </c>
      <c r="D883" t="s">
        <v>1843</v>
      </c>
      <c r="E883" t="s">
        <v>13</v>
      </c>
      <c r="F883" t="s">
        <v>14</v>
      </c>
      <c r="G883">
        <v>100</v>
      </c>
      <c r="H883">
        <v>2</v>
      </c>
      <c r="I883" s="16">
        <f t="shared" si="155"/>
        <v>200</v>
      </c>
      <c r="J883">
        <v>1</v>
      </c>
      <c r="K883">
        <f t="shared" si="156"/>
        <v>100</v>
      </c>
      <c r="L883">
        <f t="shared" si="165"/>
        <v>1</v>
      </c>
      <c r="M883">
        <f t="shared" si="157"/>
        <v>100</v>
      </c>
      <c r="N883">
        <f t="shared" si="158"/>
        <v>25</v>
      </c>
      <c r="O883">
        <f t="shared" si="159"/>
        <v>75</v>
      </c>
      <c r="R883" s="21" t="str">
        <f>_xlfn.TEXTJOIN("  by ",TRUE,B882,C882)</f>
        <v>Oru Mazhainaal Pagalil  by Tamilselvan Ratna Pandian</v>
      </c>
    </row>
    <row r="884" spans="1:18" hidden="1" x14ac:dyDescent="0.3">
      <c r="A884">
        <v>9242</v>
      </c>
      <c r="B884" t="s">
        <v>1844</v>
      </c>
      <c r="C884" t="s">
        <v>1827</v>
      </c>
      <c r="D884" t="s">
        <v>1845</v>
      </c>
      <c r="E884" t="s">
        <v>13</v>
      </c>
      <c r="F884" t="s">
        <v>14</v>
      </c>
      <c r="G884">
        <v>110</v>
      </c>
      <c r="H884">
        <v>2</v>
      </c>
      <c r="I884" s="16">
        <f t="shared" si="155"/>
        <v>220</v>
      </c>
      <c r="J884">
        <v>2</v>
      </c>
      <c r="K884">
        <f t="shared" si="156"/>
        <v>220</v>
      </c>
      <c r="L884">
        <f t="shared" si="165"/>
        <v>0</v>
      </c>
      <c r="M884">
        <f t="shared" si="157"/>
        <v>0</v>
      </c>
      <c r="N884">
        <f t="shared" si="158"/>
        <v>0</v>
      </c>
      <c r="O884">
        <f t="shared" si="159"/>
        <v>0</v>
      </c>
    </row>
    <row r="885" spans="1:18" hidden="1" x14ac:dyDescent="0.3">
      <c r="A885">
        <v>9865</v>
      </c>
      <c r="B885" t="s">
        <v>1846</v>
      </c>
      <c r="C885" t="s">
        <v>1827</v>
      </c>
      <c r="D885" t="s">
        <v>1847</v>
      </c>
      <c r="E885" t="s">
        <v>13</v>
      </c>
      <c r="F885" t="s">
        <v>14</v>
      </c>
      <c r="G885">
        <v>130</v>
      </c>
      <c r="H885">
        <v>2</v>
      </c>
      <c r="I885" s="16">
        <f t="shared" si="155"/>
        <v>260</v>
      </c>
      <c r="J885">
        <v>2</v>
      </c>
      <c r="K885">
        <f t="shared" si="156"/>
        <v>260</v>
      </c>
      <c r="L885">
        <f t="shared" si="165"/>
        <v>0</v>
      </c>
      <c r="M885">
        <f t="shared" si="157"/>
        <v>0</v>
      </c>
      <c r="N885">
        <f t="shared" si="158"/>
        <v>0</v>
      </c>
      <c r="O885">
        <f t="shared" si="159"/>
        <v>0</v>
      </c>
    </row>
    <row r="886" spans="1:18" hidden="1" x14ac:dyDescent="0.3">
      <c r="A886">
        <v>11057</v>
      </c>
      <c r="B886" t="s">
        <v>1848</v>
      </c>
      <c r="C886" t="s">
        <v>1827</v>
      </c>
      <c r="D886" t="s">
        <v>1849</v>
      </c>
      <c r="E886" t="s">
        <v>13</v>
      </c>
      <c r="F886" t="s">
        <v>1238</v>
      </c>
      <c r="G886">
        <v>140</v>
      </c>
      <c r="H886">
        <v>2</v>
      </c>
      <c r="I886" s="16">
        <f t="shared" si="155"/>
        <v>280</v>
      </c>
      <c r="J886">
        <v>2</v>
      </c>
      <c r="K886">
        <f t="shared" si="156"/>
        <v>280</v>
      </c>
      <c r="L886">
        <f t="shared" si="165"/>
        <v>0</v>
      </c>
      <c r="M886">
        <f t="shared" si="157"/>
        <v>0</v>
      </c>
      <c r="N886">
        <f t="shared" si="158"/>
        <v>0</v>
      </c>
      <c r="O886">
        <f t="shared" si="159"/>
        <v>0</v>
      </c>
    </row>
    <row r="887" spans="1:18" hidden="1" x14ac:dyDescent="0.3">
      <c r="A887">
        <v>8475</v>
      </c>
      <c r="B887" t="s">
        <v>1850</v>
      </c>
      <c r="C887" t="s">
        <v>1827</v>
      </c>
      <c r="D887" t="s">
        <v>1851</v>
      </c>
      <c r="E887" t="s">
        <v>13</v>
      </c>
      <c r="F887" t="s">
        <v>14</v>
      </c>
      <c r="G887">
        <v>120</v>
      </c>
      <c r="H887">
        <v>2</v>
      </c>
      <c r="I887" s="16">
        <f t="shared" si="155"/>
        <v>240</v>
      </c>
      <c r="J887">
        <v>2</v>
      </c>
      <c r="K887">
        <f t="shared" si="156"/>
        <v>240</v>
      </c>
      <c r="L887">
        <f t="shared" si="165"/>
        <v>0</v>
      </c>
      <c r="M887">
        <f t="shared" si="157"/>
        <v>0</v>
      </c>
      <c r="N887">
        <f t="shared" si="158"/>
        <v>0</v>
      </c>
      <c r="O887">
        <f t="shared" si="159"/>
        <v>0</v>
      </c>
    </row>
    <row r="888" spans="1:18" hidden="1" x14ac:dyDescent="0.3">
      <c r="A888">
        <v>9165</v>
      </c>
      <c r="B888" t="s">
        <v>1852</v>
      </c>
      <c r="C888" t="s">
        <v>1827</v>
      </c>
      <c r="D888" t="s">
        <v>1853</v>
      </c>
      <c r="E888" t="s">
        <v>13</v>
      </c>
      <c r="F888" t="s">
        <v>14</v>
      </c>
      <c r="G888">
        <v>90</v>
      </c>
      <c r="H888">
        <v>2</v>
      </c>
      <c r="I888" s="16">
        <f t="shared" si="155"/>
        <v>180</v>
      </c>
      <c r="J888">
        <v>2</v>
      </c>
      <c r="K888">
        <f t="shared" si="156"/>
        <v>180</v>
      </c>
      <c r="L888">
        <f t="shared" si="165"/>
        <v>0</v>
      </c>
      <c r="M888">
        <f t="shared" si="157"/>
        <v>0</v>
      </c>
      <c r="N888">
        <f t="shared" si="158"/>
        <v>0</v>
      </c>
      <c r="O888">
        <f t="shared" si="159"/>
        <v>0</v>
      </c>
    </row>
    <row r="889" spans="1:18" hidden="1" x14ac:dyDescent="0.3">
      <c r="A889">
        <v>9592</v>
      </c>
      <c r="B889" t="s">
        <v>1854</v>
      </c>
      <c r="C889" t="s">
        <v>1827</v>
      </c>
      <c r="D889" t="s">
        <v>1855</v>
      </c>
      <c r="E889" t="s">
        <v>13</v>
      </c>
      <c r="F889" t="s">
        <v>14</v>
      </c>
      <c r="G889">
        <v>110</v>
      </c>
      <c r="H889">
        <v>2</v>
      </c>
      <c r="I889" s="16">
        <f t="shared" si="155"/>
        <v>220</v>
      </c>
      <c r="J889">
        <v>2</v>
      </c>
      <c r="K889">
        <f t="shared" si="156"/>
        <v>220</v>
      </c>
      <c r="L889">
        <f t="shared" si="165"/>
        <v>0</v>
      </c>
      <c r="M889">
        <f t="shared" si="157"/>
        <v>0</v>
      </c>
      <c r="N889">
        <f t="shared" si="158"/>
        <v>0</v>
      </c>
      <c r="O889">
        <f t="shared" si="159"/>
        <v>0</v>
      </c>
    </row>
    <row r="890" spans="1:18" hidden="1" x14ac:dyDescent="0.3">
      <c r="A890">
        <v>2749</v>
      </c>
      <c r="B890" t="s">
        <v>1856</v>
      </c>
      <c r="C890" t="s">
        <v>1857</v>
      </c>
      <c r="D890" t="s">
        <v>1858</v>
      </c>
      <c r="E890" t="s">
        <v>13</v>
      </c>
      <c r="F890" t="s">
        <v>39</v>
      </c>
      <c r="G890">
        <v>120</v>
      </c>
      <c r="H890">
        <v>2</v>
      </c>
      <c r="I890" s="16">
        <f t="shared" si="155"/>
        <v>240</v>
      </c>
      <c r="J890">
        <v>2</v>
      </c>
      <c r="K890">
        <f t="shared" si="156"/>
        <v>240</v>
      </c>
      <c r="L890">
        <f t="shared" si="165"/>
        <v>0</v>
      </c>
      <c r="M890">
        <f t="shared" si="157"/>
        <v>0</v>
      </c>
      <c r="N890">
        <f t="shared" si="158"/>
        <v>0</v>
      </c>
      <c r="O890">
        <f t="shared" si="159"/>
        <v>0</v>
      </c>
    </row>
    <row r="891" spans="1:18" hidden="1" x14ac:dyDescent="0.3">
      <c r="A891">
        <v>2748</v>
      </c>
      <c r="B891" t="s">
        <v>1859</v>
      </c>
      <c r="C891" t="s">
        <v>1857</v>
      </c>
      <c r="D891" t="s">
        <v>1860</v>
      </c>
      <c r="E891" t="s">
        <v>13</v>
      </c>
      <c r="F891" t="s">
        <v>39</v>
      </c>
      <c r="G891">
        <v>120</v>
      </c>
      <c r="H891">
        <v>2</v>
      </c>
      <c r="I891" s="16">
        <f t="shared" si="155"/>
        <v>240</v>
      </c>
      <c r="J891">
        <v>2</v>
      </c>
      <c r="K891">
        <f t="shared" si="156"/>
        <v>240</v>
      </c>
      <c r="L891">
        <f t="shared" si="165"/>
        <v>0</v>
      </c>
      <c r="M891">
        <f t="shared" si="157"/>
        <v>0</v>
      </c>
      <c r="N891">
        <f t="shared" si="158"/>
        <v>0</v>
      </c>
      <c r="O891">
        <f t="shared" si="159"/>
        <v>0</v>
      </c>
    </row>
    <row r="892" spans="1:18" ht="18.3" x14ac:dyDescent="0.4">
      <c r="A892">
        <v>2065</v>
      </c>
      <c r="B892" t="s">
        <v>1861</v>
      </c>
      <c r="C892" t="s">
        <v>1857</v>
      </c>
      <c r="D892" t="s">
        <v>1862</v>
      </c>
      <c r="E892" t="s">
        <v>13</v>
      </c>
      <c r="F892" t="s">
        <v>39</v>
      </c>
      <c r="G892">
        <v>150</v>
      </c>
      <c r="H892">
        <v>2</v>
      </c>
      <c r="I892" s="16">
        <f t="shared" si="155"/>
        <v>300</v>
      </c>
      <c r="J892">
        <v>1</v>
      </c>
      <c r="K892">
        <f t="shared" si="156"/>
        <v>150</v>
      </c>
      <c r="L892">
        <f t="shared" si="165"/>
        <v>1</v>
      </c>
      <c r="M892">
        <f t="shared" si="157"/>
        <v>150</v>
      </c>
      <c r="N892">
        <f t="shared" si="158"/>
        <v>37.5</v>
      </c>
      <c r="O892">
        <f t="shared" si="159"/>
        <v>112.5</v>
      </c>
      <c r="R892" s="21" t="str">
        <f>_xlfn.TEXTJOIN("  by ",TRUE,B891,C891)</f>
        <v>Idhayam Theetiya Oviyame!  by Uma Balakumar</v>
      </c>
    </row>
    <row r="893" spans="1:18" hidden="1" x14ac:dyDescent="0.3">
      <c r="A893">
        <v>2105</v>
      </c>
      <c r="B893" t="s">
        <v>1863</v>
      </c>
      <c r="C893" t="s">
        <v>1857</v>
      </c>
      <c r="D893" t="s">
        <v>1864</v>
      </c>
      <c r="E893" t="s">
        <v>13</v>
      </c>
      <c r="F893" t="s">
        <v>39</v>
      </c>
      <c r="G893">
        <v>140</v>
      </c>
      <c r="H893">
        <v>2</v>
      </c>
      <c r="I893" s="16">
        <f t="shared" si="155"/>
        <v>280</v>
      </c>
      <c r="J893">
        <v>2</v>
      </c>
      <c r="K893">
        <f t="shared" si="156"/>
        <v>280</v>
      </c>
      <c r="L893">
        <f t="shared" si="165"/>
        <v>0</v>
      </c>
      <c r="M893">
        <f t="shared" si="157"/>
        <v>0</v>
      </c>
      <c r="N893">
        <f t="shared" si="158"/>
        <v>0</v>
      </c>
      <c r="O893">
        <f t="shared" si="159"/>
        <v>0</v>
      </c>
    </row>
    <row r="894" spans="1:18" ht="18.3" x14ac:dyDescent="0.4">
      <c r="A894">
        <v>2408</v>
      </c>
      <c r="B894" t="s">
        <v>1865</v>
      </c>
      <c r="C894" t="s">
        <v>1857</v>
      </c>
      <c r="D894" t="s">
        <v>1866</v>
      </c>
      <c r="E894" t="s">
        <v>13</v>
      </c>
      <c r="F894" t="s">
        <v>14</v>
      </c>
      <c r="G894">
        <v>190</v>
      </c>
      <c r="H894">
        <v>2</v>
      </c>
      <c r="I894" s="16">
        <f t="shared" si="155"/>
        <v>380</v>
      </c>
      <c r="J894">
        <v>1</v>
      </c>
      <c r="K894">
        <f t="shared" si="156"/>
        <v>190</v>
      </c>
      <c r="L894">
        <f t="shared" si="165"/>
        <v>1</v>
      </c>
      <c r="M894">
        <f t="shared" si="157"/>
        <v>190</v>
      </c>
      <c r="N894">
        <f t="shared" si="158"/>
        <v>47.5</v>
      </c>
      <c r="O894">
        <f t="shared" si="159"/>
        <v>142.5</v>
      </c>
      <c r="R894" s="21" t="str">
        <f>_xlfn.TEXTJOIN("  by ",TRUE,B893,C893)</f>
        <v>Mazhai Tharumo En Megam…!  by Uma Balakumar</v>
      </c>
    </row>
    <row r="895" spans="1:18" hidden="1" x14ac:dyDescent="0.3">
      <c r="A895">
        <v>2064</v>
      </c>
      <c r="B895" t="s">
        <v>1867</v>
      </c>
      <c r="C895" t="s">
        <v>1857</v>
      </c>
      <c r="D895" t="s">
        <v>1868</v>
      </c>
      <c r="E895" t="s">
        <v>13</v>
      </c>
      <c r="F895" t="s">
        <v>39</v>
      </c>
      <c r="G895">
        <v>110</v>
      </c>
      <c r="H895">
        <v>2</v>
      </c>
      <c r="I895" s="16">
        <f t="shared" si="155"/>
        <v>220</v>
      </c>
      <c r="J895">
        <v>2</v>
      </c>
      <c r="K895">
        <f t="shared" si="156"/>
        <v>220</v>
      </c>
      <c r="L895">
        <f t="shared" si="165"/>
        <v>0</v>
      </c>
      <c r="M895">
        <f t="shared" si="157"/>
        <v>0</v>
      </c>
      <c r="N895">
        <f t="shared" si="158"/>
        <v>0</v>
      </c>
      <c r="O895">
        <f t="shared" si="159"/>
        <v>0</v>
      </c>
    </row>
    <row r="896" spans="1:18" hidden="1" x14ac:dyDescent="0.3">
      <c r="A896">
        <v>5206</v>
      </c>
      <c r="B896" t="s">
        <v>1869</v>
      </c>
      <c r="C896" t="s">
        <v>1857</v>
      </c>
      <c r="D896" t="s">
        <v>1870</v>
      </c>
      <c r="E896" t="s">
        <v>13</v>
      </c>
      <c r="F896" t="s">
        <v>136</v>
      </c>
      <c r="G896">
        <v>280</v>
      </c>
      <c r="H896">
        <v>2</v>
      </c>
      <c r="I896" s="16">
        <f t="shared" si="155"/>
        <v>560</v>
      </c>
      <c r="J896">
        <v>2</v>
      </c>
      <c r="K896">
        <f t="shared" si="156"/>
        <v>560</v>
      </c>
      <c r="L896">
        <f t="shared" si="165"/>
        <v>0</v>
      </c>
      <c r="M896">
        <f t="shared" si="157"/>
        <v>0</v>
      </c>
      <c r="N896">
        <f t="shared" si="158"/>
        <v>0</v>
      </c>
      <c r="O896">
        <f t="shared" si="159"/>
        <v>0</v>
      </c>
    </row>
    <row r="897" spans="1:18" hidden="1" x14ac:dyDescent="0.3">
      <c r="A897">
        <v>2414</v>
      </c>
      <c r="B897" t="s">
        <v>1871</v>
      </c>
      <c r="C897" t="s">
        <v>1857</v>
      </c>
      <c r="D897" t="s">
        <v>1872</v>
      </c>
      <c r="E897" t="s">
        <v>13</v>
      </c>
      <c r="F897" t="s">
        <v>14</v>
      </c>
      <c r="G897">
        <v>140</v>
      </c>
      <c r="H897">
        <v>2</v>
      </c>
      <c r="I897" s="16">
        <f t="shared" si="155"/>
        <v>280</v>
      </c>
      <c r="J897">
        <v>2</v>
      </c>
      <c r="K897">
        <f t="shared" si="156"/>
        <v>280</v>
      </c>
      <c r="L897">
        <f t="shared" si="165"/>
        <v>0</v>
      </c>
      <c r="M897">
        <f t="shared" si="157"/>
        <v>0</v>
      </c>
      <c r="N897">
        <f t="shared" si="158"/>
        <v>0</v>
      </c>
      <c r="O897">
        <f t="shared" si="159"/>
        <v>0</v>
      </c>
    </row>
    <row r="898" spans="1:18" hidden="1" x14ac:dyDescent="0.3">
      <c r="A898">
        <v>2100</v>
      </c>
      <c r="B898" t="s">
        <v>1873</v>
      </c>
      <c r="C898" t="s">
        <v>1857</v>
      </c>
      <c r="D898" t="s">
        <v>1874</v>
      </c>
      <c r="E898" t="s">
        <v>13</v>
      </c>
      <c r="F898" t="s">
        <v>39</v>
      </c>
      <c r="G898">
        <v>120</v>
      </c>
      <c r="H898">
        <v>2</v>
      </c>
      <c r="I898" s="16">
        <f t="shared" si="155"/>
        <v>240</v>
      </c>
      <c r="J898">
        <v>2</v>
      </c>
      <c r="K898">
        <f t="shared" si="156"/>
        <v>240</v>
      </c>
      <c r="L898">
        <f t="shared" si="165"/>
        <v>0</v>
      </c>
      <c r="M898">
        <f t="shared" si="157"/>
        <v>0</v>
      </c>
      <c r="N898">
        <f t="shared" si="158"/>
        <v>0</v>
      </c>
      <c r="O898">
        <f t="shared" si="159"/>
        <v>0</v>
      </c>
    </row>
    <row r="899" spans="1:18" hidden="1" x14ac:dyDescent="0.3">
      <c r="A899">
        <v>2066</v>
      </c>
      <c r="B899" t="s">
        <v>1875</v>
      </c>
      <c r="C899" t="s">
        <v>1857</v>
      </c>
      <c r="D899" t="s">
        <v>1876</v>
      </c>
      <c r="E899" t="s">
        <v>13</v>
      </c>
      <c r="F899" t="s">
        <v>39</v>
      </c>
      <c r="G899">
        <v>150</v>
      </c>
      <c r="H899">
        <v>2</v>
      </c>
      <c r="I899" s="16">
        <f t="shared" ref="I899:I962" si="166">H899*G899</f>
        <v>300</v>
      </c>
      <c r="J899">
        <v>2</v>
      </c>
      <c r="K899">
        <f t="shared" ref="K899:K962" si="167">J899*G899</f>
        <v>300</v>
      </c>
      <c r="L899">
        <f t="shared" si="165"/>
        <v>0</v>
      </c>
      <c r="M899">
        <f t="shared" ref="M899:M962" si="168">L899*G899</f>
        <v>0</v>
      </c>
      <c r="N899">
        <f t="shared" ref="N899:N962" si="169">M899*0.25</f>
        <v>0</v>
      </c>
      <c r="O899">
        <f t="shared" ref="O899:O962" si="170">M899-N899</f>
        <v>0</v>
      </c>
    </row>
    <row r="900" spans="1:18" hidden="1" x14ac:dyDescent="0.3">
      <c r="A900">
        <v>3846</v>
      </c>
      <c r="B900" t="s">
        <v>1877</v>
      </c>
      <c r="C900" t="s">
        <v>1857</v>
      </c>
      <c r="D900" t="s">
        <v>1878</v>
      </c>
      <c r="E900" t="s">
        <v>13</v>
      </c>
      <c r="F900" t="s">
        <v>14</v>
      </c>
      <c r="G900">
        <v>290</v>
      </c>
      <c r="H900">
        <v>2</v>
      </c>
      <c r="I900" s="16">
        <f t="shared" si="166"/>
        <v>580</v>
      </c>
      <c r="J900">
        <v>2</v>
      </c>
      <c r="K900">
        <f t="shared" si="167"/>
        <v>580</v>
      </c>
      <c r="L900">
        <f t="shared" si="165"/>
        <v>0</v>
      </c>
      <c r="M900">
        <f t="shared" si="168"/>
        <v>0</v>
      </c>
      <c r="N900">
        <f t="shared" si="169"/>
        <v>0</v>
      </c>
      <c r="O900">
        <f t="shared" si="170"/>
        <v>0</v>
      </c>
    </row>
    <row r="901" spans="1:18" ht="18.3" x14ac:dyDescent="0.4">
      <c r="A901">
        <v>4076</v>
      </c>
      <c r="B901" t="s">
        <v>1879</v>
      </c>
      <c r="C901" t="s">
        <v>1880</v>
      </c>
      <c r="D901" t="s">
        <v>1881</v>
      </c>
      <c r="E901" t="s">
        <v>13</v>
      </c>
      <c r="F901" t="s">
        <v>44</v>
      </c>
      <c r="G901">
        <v>350</v>
      </c>
      <c r="H901">
        <v>2</v>
      </c>
      <c r="I901" s="16">
        <f t="shared" si="166"/>
        <v>700</v>
      </c>
      <c r="J901">
        <v>1</v>
      </c>
      <c r="K901">
        <f t="shared" si="167"/>
        <v>350</v>
      </c>
      <c r="L901">
        <f t="shared" si="165"/>
        <v>1</v>
      </c>
      <c r="M901">
        <f t="shared" si="168"/>
        <v>350</v>
      </c>
      <c r="N901">
        <f t="shared" si="169"/>
        <v>87.5</v>
      </c>
      <c r="O901">
        <f t="shared" si="170"/>
        <v>262.5</v>
      </c>
      <c r="R901" s="21" t="str">
        <f>_xlfn.TEXTJOIN("  by ",TRUE,B900,C900)</f>
        <v>Verena Neeirunthai!  by Uma Balakumar</v>
      </c>
    </row>
    <row r="902" spans="1:18" hidden="1" x14ac:dyDescent="0.3">
      <c r="A902">
        <v>5850</v>
      </c>
      <c r="B902" t="s">
        <v>1882</v>
      </c>
      <c r="C902" t="s">
        <v>1880</v>
      </c>
      <c r="D902" t="s">
        <v>1883</v>
      </c>
      <c r="E902" t="s">
        <v>13</v>
      </c>
      <c r="F902" t="s">
        <v>14</v>
      </c>
      <c r="G902">
        <v>170</v>
      </c>
      <c r="H902">
        <v>2</v>
      </c>
      <c r="I902" s="16">
        <f t="shared" si="166"/>
        <v>340</v>
      </c>
      <c r="J902">
        <v>2</v>
      </c>
      <c r="K902">
        <f t="shared" si="167"/>
        <v>340</v>
      </c>
      <c r="L902">
        <f t="shared" si="165"/>
        <v>0</v>
      </c>
      <c r="M902">
        <f t="shared" si="168"/>
        <v>0</v>
      </c>
      <c r="N902">
        <f t="shared" si="169"/>
        <v>0</v>
      </c>
      <c r="O902">
        <f t="shared" si="170"/>
        <v>0</v>
      </c>
    </row>
    <row r="903" spans="1:18" ht="18.3" x14ac:dyDescent="0.4">
      <c r="A903">
        <v>6036</v>
      </c>
      <c r="B903" t="s">
        <v>1884</v>
      </c>
      <c r="C903" t="s">
        <v>1880</v>
      </c>
      <c r="D903" t="s">
        <v>1885</v>
      </c>
      <c r="E903" t="s">
        <v>13</v>
      </c>
      <c r="F903" t="s">
        <v>44</v>
      </c>
      <c r="G903">
        <v>240</v>
      </c>
      <c r="H903">
        <v>4</v>
      </c>
      <c r="I903" s="16">
        <f t="shared" si="166"/>
        <v>960</v>
      </c>
      <c r="J903">
        <v>1</v>
      </c>
      <c r="K903">
        <f t="shared" si="167"/>
        <v>240</v>
      </c>
      <c r="L903">
        <f t="shared" si="165"/>
        <v>3</v>
      </c>
      <c r="M903">
        <f t="shared" si="168"/>
        <v>720</v>
      </c>
      <c r="N903">
        <f t="shared" si="169"/>
        <v>180</v>
      </c>
      <c r="O903">
        <f t="shared" si="170"/>
        <v>540</v>
      </c>
      <c r="R903" s="21" t="str">
        <f t="shared" ref="R903:R904" si="171">_xlfn.TEXTJOIN("  by ",TRUE,B902,C902)</f>
        <v>Aarthikku Mugam Sivanthathu  by Vaasanthi</v>
      </c>
    </row>
    <row r="904" spans="1:18" ht="18.3" x14ac:dyDescent="0.4">
      <c r="A904">
        <v>8321</v>
      </c>
      <c r="B904" t="s">
        <v>1886</v>
      </c>
      <c r="C904" t="s">
        <v>1880</v>
      </c>
      <c r="D904" t="s">
        <v>1887</v>
      </c>
      <c r="E904" t="s">
        <v>13</v>
      </c>
      <c r="F904" t="s">
        <v>14</v>
      </c>
      <c r="G904">
        <v>220</v>
      </c>
      <c r="H904">
        <v>2</v>
      </c>
      <c r="I904" s="16">
        <f t="shared" si="166"/>
        <v>440</v>
      </c>
      <c r="J904">
        <v>1</v>
      </c>
      <c r="K904">
        <f t="shared" si="167"/>
        <v>220</v>
      </c>
      <c r="L904">
        <f t="shared" si="165"/>
        <v>1</v>
      </c>
      <c r="M904">
        <f t="shared" si="168"/>
        <v>220</v>
      </c>
      <c r="N904">
        <f t="shared" si="169"/>
        <v>55</v>
      </c>
      <c r="O904">
        <f t="shared" si="170"/>
        <v>165</v>
      </c>
      <c r="R904" s="21" t="str">
        <f t="shared" si="171"/>
        <v>Ammani  by Vaasanthi</v>
      </c>
    </row>
    <row r="905" spans="1:18" hidden="1" x14ac:dyDescent="0.3">
      <c r="A905">
        <v>6025</v>
      </c>
      <c r="B905" t="s">
        <v>1888</v>
      </c>
      <c r="C905" t="s">
        <v>1880</v>
      </c>
      <c r="D905" t="s">
        <v>1889</v>
      </c>
      <c r="E905" t="s">
        <v>13</v>
      </c>
      <c r="F905" t="s">
        <v>44</v>
      </c>
      <c r="G905">
        <v>190</v>
      </c>
      <c r="H905">
        <v>3</v>
      </c>
      <c r="I905" s="16">
        <f t="shared" si="166"/>
        <v>570</v>
      </c>
      <c r="J905">
        <v>3</v>
      </c>
      <c r="K905">
        <f t="shared" si="167"/>
        <v>570</v>
      </c>
      <c r="L905">
        <f t="shared" si="165"/>
        <v>0</v>
      </c>
      <c r="M905">
        <f t="shared" si="168"/>
        <v>0</v>
      </c>
      <c r="N905">
        <f t="shared" si="169"/>
        <v>0</v>
      </c>
      <c r="O905">
        <f t="shared" si="170"/>
        <v>0</v>
      </c>
    </row>
    <row r="906" spans="1:18" ht="18.3" x14ac:dyDescent="0.4">
      <c r="A906">
        <v>3568</v>
      </c>
      <c r="B906" t="s">
        <v>1890</v>
      </c>
      <c r="C906" t="s">
        <v>1880</v>
      </c>
      <c r="D906" t="s">
        <v>1891</v>
      </c>
      <c r="E906" t="s">
        <v>13</v>
      </c>
      <c r="F906" t="s">
        <v>44</v>
      </c>
      <c r="G906">
        <v>150</v>
      </c>
      <c r="H906">
        <v>2</v>
      </c>
      <c r="I906" s="16">
        <f t="shared" si="166"/>
        <v>300</v>
      </c>
      <c r="J906">
        <v>1</v>
      </c>
      <c r="K906">
        <f t="shared" si="167"/>
        <v>150</v>
      </c>
      <c r="L906">
        <f t="shared" si="165"/>
        <v>1</v>
      </c>
      <c r="M906">
        <f t="shared" si="168"/>
        <v>150</v>
      </c>
      <c r="N906">
        <f t="shared" si="169"/>
        <v>37.5</v>
      </c>
      <c r="O906">
        <f t="shared" si="170"/>
        <v>112.5</v>
      </c>
      <c r="R906" s="21" t="str">
        <f>_xlfn.TEXTJOIN("  by ",TRUE,B905,C905)</f>
        <v>Jaipur Necklace  by Vaasanthi</v>
      </c>
    </row>
    <row r="907" spans="1:18" hidden="1" x14ac:dyDescent="0.3">
      <c r="A907">
        <v>3557</v>
      </c>
      <c r="B907" t="s">
        <v>1892</v>
      </c>
      <c r="C907" t="s">
        <v>1880</v>
      </c>
      <c r="D907" t="s">
        <v>1893</v>
      </c>
      <c r="E907" t="s">
        <v>13</v>
      </c>
      <c r="F907" t="s">
        <v>44</v>
      </c>
      <c r="G907">
        <v>220</v>
      </c>
      <c r="H907">
        <v>2</v>
      </c>
      <c r="I907" s="16">
        <f t="shared" si="166"/>
        <v>440</v>
      </c>
      <c r="J907">
        <v>2</v>
      </c>
      <c r="K907">
        <f t="shared" si="167"/>
        <v>440</v>
      </c>
      <c r="L907">
        <f t="shared" si="165"/>
        <v>0</v>
      </c>
      <c r="M907">
        <f t="shared" si="168"/>
        <v>0</v>
      </c>
      <c r="N907">
        <f t="shared" si="169"/>
        <v>0</v>
      </c>
      <c r="O907">
        <f t="shared" si="170"/>
        <v>0</v>
      </c>
    </row>
    <row r="908" spans="1:18" hidden="1" x14ac:dyDescent="0.3">
      <c r="A908">
        <v>4142</v>
      </c>
      <c r="B908" t="s">
        <v>1894</v>
      </c>
      <c r="C908" t="s">
        <v>1880</v>
      </c>
      <c r="D908" t="s">
        <v>1895</v>
      </c>
      <c r="E908" t="s">
        <v>13</v>
      </c>
      <c r="F908" t="s">
        <v>44</v>
      </c>
      <c r="G908">
        <v>310</v>
      </c>
      <c r="H908">
        <v>2</v>
      </c>
      <c r="I908" s="16">
        <f t="shared" si="166"/>
        <v>620</v>
      </c>
      <c r="J908">
        <v>2</v>
      </c>
      <c r="K908">
        <f t="shared" si="167"/>
        <v>620</v>
      </c>
      <c r="L908">
        <f t="shared" si="165"/>
        <v>0</v>
      </c>
      <c r="M908">
        <f t="shared" si="168"/>
        <v>0</v>
      </c>
      <c r="N908">
        <f t="shared" si="169"/>
        <v>0</v>
      </c>
      <c r="O908">
        <f t="shared" si="170"/>
        <v>0</v>
      </c>
    </row>
    <row r="909" spans="1:18" ht="18.3" x14ac:dyDescent="0.4">
      <c r="A909">
        <v>4097</v>
      </c>
      <c r="B909" t="s">
        <v>1896</v>
      </c>
      <c r="C909" t="s">
        <v>1880</v>
      </c>
      <c r="D909" t="s">
        <v>1897</v>
      </c>
      <c r="E909" t="s">
        <v>13</v>
      </c>
      <c r="F909" t="s">
        <v>14</v>
      </c>
      <c r="G909">
        <v>140</v>
      </c>
      <c r="H909">
        <v>2</v>
      </c>
      <c r="I909" s="16">
        <f t="shared" si="166"/>
        <v>280</v>
      </c>
      <c r="J909">
        <v>1</v>
      </c>
      <c r="K909">
        <f t="shared" si="167"/>
        <v>140</v>
      </c>
      <c r="L909">
        <f t="shared" si="165"/>
        <v>1</v>
      </c>
      <c r="M909">
        <f t="shared" si="168"/>
        <v>140</v>
      </c>
      <c r="N909">
        <f t="shared" si="169"/>
        <v>35</v>
      </c>
      <c r="O909">
        <f t="shared" si="170"/>
        <v>105</v>
      </c>
      <c r="R909" s="21" t="str">
        <f>_xlfn.TEXTJOIN("  by ",TRUE,B908,C908)</f>
        <v>Kadai Bommaigal  by Vaasanthi</v>
      </c>
    </row>
    <row r="910" spans="1:18" hidden="1" x14ac:dyDescent="0.3">
      <c r="A910">
        <v>3869</v>
      </c>
      <c r="B910" t="s">
        <v>1898</v>
      </c>
      <c r="C910" t="s">
        <v>1880</v>
      </c>
      <c r="D910" t="s">
        <v>1899</v>
      </c>
      <c r="E910" t="s">
        <v>13</v>
      </c>
      <c r="F910" t="s">
        <v>1238</v>
      </c>
      <c r="G910">
        <v>140</v>
      </c>
      <c r="H910">
        <v>2</v>
      </c>
      <c r="I910" s="16">
        <f t="shared" si="166"/>
        <v>280</v>
      </c>
      <c r="J910">
        <v>2</v>
      </c>
      <c r="K910">
        <f t="shared" si="167"/>
        <v>280</v>
      </c>
      <c r="L910">
        <f t="shared" si="165"/>
        <v>0</v>
      </c>
      <c r="M910">
        <f t="shared" si="168"/>
        <v>0</v>
      </c>
      <c r="N910">
        <f t="shared" si="169"/>
        <v>0</v>
      </c>
      <c r="O910">
        <f t="shared" si="170"/>
        <v>0</v>
      </c>
    </row>
    <row r="911" spans="1:18" ht="18.3" x14ac:dyDescent="0.4">
      <c r="A911">
        <v>6045</v>
      </c>
      <c r="B911" t="s">
        <v>1900</v>
      </c>
      <c r="C911" t="s">
        <v>1880</v>
      </c>
      <c r="D911" t="s">
        <v>1901</v>
      </c>
      <c r="E911" t="s">
        <v>13</v>
      </c>
      <c r="F911" t="s">
        <v>44</v>
      </c>
      <c r="G911">
        <v>330</v>
      </c>
      <c r="H911">
        <v>2</v>
      </c>
      <c r="I911" s="16">
        <f t="shared" si="166"/>
        <v>660</v>
      </c>
      <c r="J911">
        <v>1</v>
      </c>
      <c r="K911">
        <f t="shared" si="167"/>
        <v>330</v>
      </c>
      <c r="L911">
        <f t="shared" si="165"/>
        <v>1</v>
      </c>
      <c r="M911">
        <f t="shared" si="168"/>
        <v>330</v>
      </c>
      <c r="N911">
        <f t="shared" si="169"/>
        <v>82.5</v>
      </c>
      <c r="O911">
        <f t="shared" si="170"/>
        <v>247.5</v>
      </c>
      <c r="R911" s="21" t="str">
        <f t="shared" ref="R911:R912" si="172">_xlfn.TEXTJOIN("  by ",TRUE,B910,C910)</f>
        <v>Kizhakkey Oru Ulagam  by Vaasanthi</v>
      </c>
    </row>
    <row r="912" spans="1:18" ht="18.3" x14ac:dyDescent="0.4">
      <c r="A912">
        <v>3866</v>
      </c>
      <c r="B912" t="s">
        <v>1902</v>
      </c>
      <c r="C912" t="s">
        <v>1880</v>
      </c>
      <c r="D912" t="s">
        <v>1903</v>
      </c>
      <c r="E912" t="s">
        <v>13</v>
      </c>
      <c r="F912" t="s">
        <v>44</v>
      </c>
      <c r="G912">
        <v>170</v>
      </c>
      <c r="H912">
        <v>2</v>
      </c>
      <c r="I912" s="16">
        <f t="shared" si="166"/>
        <v>340</v>
      </c>
      <c r="J912">
        <v>1</v>
      </c>
      <c r="K912">
        <f t="shared" si="167"/>
        <v>170</v>
      </c>
      <c r="L912">
        <f t="shared" si="165"/>
        <v>1</v>
      </c>
      <c r="M912">
        <f t="shared" si="168"/>
        <v>170</v>
      </c>
      <c r="N912">
        <f t="shared" si="169"/>
        <v>42.5</v>
      </c>
      <c r="O912">
        <f t="shared" si="170"/>
        <v>127.5</v>
      </c>
      <c r="R912" s="21" t="str">
        <f t="shared" si="172"/>
        <v>Manithargal Paathi Neram Thoongukirargal  by Vaasanthi</v>
      </c>
    </row>
    <row r="913" spans="1:18" hidden="1" x14ac:dyDescent="0.3">
      <c r="A913">
        <v>3562</v>
      </c>
      <c r="B913" t="s">
        <v>1904</v>
      </c>
      <c r="C913" t="s">
        <v>1880</v>
      </c>
      <c r="D913" t="s">
        <v>1905</v>
      </c>
      <c r="E913" t="s">
        <v>13</v>
      </c>
      <c r="F913" t="s">
        <v>44</v>
      </c>
      <c r="G913">
        <v>120</v>
      </c>
      <c r="H913">
        <v>2</v>
      </c>
      <c r="I913" s="16">
        <f t="shared" si="166"/>
        <v>240</v>
      </c>
      <c r="J913">
        <v>2</v>
      </c>
      <c r="K913">
        <f t="shared" si="167"/>
        <v>240</v>
      </c>
      <c r="L913">
        <f t="shared" si="165"/>
        <v>0</v>
      </c>
      <c r="M913">
        <f t="shared" si="168"/>
        <v>0</v>
      </c>
      <c r="N913">
        <f t="shared" si="169"/>
        <v>0</v>
      </c>
      <c r="O913">
        <f t="shared" si="170"/>
        <v>0</v>
      </c>
    </row>
    <row r="914" spans="1:18" hidden="1" x14ac:dyDescent="0.3">
      <c r="A914">
        <v>6043</v>
      </c>
      <c r="B914" t="s">
        <v>1906</v>
      </c>
      <c r="C914" t="s">
        <v>1880</v>
      </c>
      <c r="D914" t="s">
        <v>1907</v>
      </c>
      <c r="E914" t="s">
        <v>13</v>
      </c>
      <c r="F914" t="s">
        <v>44</v>
      </c>
      <c r="G914">
        <v>290</v>
      </c>
      <c r="H914">
        <v>2</v>
      </c>
      <c r="I914" s="16">
        <f t="shared" si="166"/>
        <v>580</v>
      </c>
      <c r="J914">
        <v>2</v>
      </c>
      <c r="K914">
        <f t="shared" si="167"/>
        <v>580</v>
      </c>
      <c r="L914">
        <f t="shared" si="165"/>
        <v>0</v>
      </c>
      <c r="M914">
        <f t="shared" si="168"/>
        <v>0</v>
      </c>
      <c r="N914">
        <f t="shared" si="169"/>
        <v>0</v>
      </c>
      <c r="O914">
        <f t="shared" si="170"/>
        <v>0</v>
      </c>
    </row>
    <row r="915" spans="1:18" ht="18.3" x14ac:dyDescent="0.4">
      <c r="A915">
        <v>3529</v>
      </c>
      <c r="B915" t="s">
        <v>1908</v>
      </c>
      <c r="C915" t="s">
        <v>1880</v>
      </c>
      <c r="D915" t="s">
        <v>1909</v>
      </c>
      <c r="E915" t="s">
        <v>13</v>
      </c>
      <c r="F915" t="s">
        <v>44</v>
      </c>
      <c r="G915">
        <v>250</v>
      </c>
      <c r="H915">
        <v>2</v>
      </c>
      <c r="I915" s="16">
        <f t="shared" si="166"/>
        <v>500</v>
      </c>
      <c r="J915">
        <v>1</v>
      </c>
      <c r="K915">
        <f t="shared" si="167"/>
        <v>250</v>
      </c>
      <c r="L915">
        <f t="shared" si="165"/>
        <v>1</v>
      </c>
      <c r="M915">
        <f t="shared" si="168"/>
        <v>250</v>
      </c>
      <c r="N915">
        <f t="shared" si="169"/>
        <v>62.5</v>
      </c>
      <c r="O915">
        <f t="shared" si="170"/>
        <v>187.5</v>
      </c>
      <c r="R915" s="21" t="str">
        <f>_xlfn.TEXTJOIN("  by ",TRUE,B914,C914)</f>
        <v>Mouna Puyal  by Vaasanthi</v>
      </c>
    </row>
    <row r="916" spans="1:18" hidden="1" x14ac:dyDescent="0.3">
      <c r="A916">
        <v>3868</v>
      </c>
      <c r="B916" t="s">
        <v>1910</v>
      </c>
      <c r="C916" t="s">
        <v>1880</v>
      </c>
      <c r="D916" t="s">
        <v>1911</v>
      </c>
      <c r="E916" t="s">
        <v>13</v>
      </c>
      <c r="F916" t="s">
        <v>44</v>
      </c>
      <c r="G916">
        <v>210</v>
      </c>
      <c r="H916">
        <v>2</v>
      </c>
      <c r="I916" s="16">
        <f t="shared" si="166"/>
        <v>420</v>
      </c>
      <c r="J916">
        <v>2</v>
      </c>
      <c r="K916">
        <f t="shared" si="167"/>
        <v>420</v>
      </c>
      <c r="L916">
        <f t="shared" si="165"/>
        <v>0</v>
      </c>
      <c r="M916">
        <f t="shared" si="168"/>
        <v>0</v>
      </c>
      <c r="N916">
        <f t="shared" si="169"/>
        <v>0</v>
      </c>
      <c r="O916">
        <f t="shared" si="170"/>
        <v>0</v>
      </c>
    </row>
    <row r="917" spans="1:18" ht="18.3" x14ac:dyDescent="0.4">
      <c r="A917">
        <v>7493</v>
      </c>
      <c r="B917" t="s">
        <v>1912</v>
      </c>
      <c r="C917" t="s">
        <v>1880</v>
      </c>
      <c r="D917" t="s">
        <v>1913</v>
      </c>
      <c r="E917" t="s">
        <v>13</v>
      </c>
      <c r="F917" t="s">
        <v>14</v>
      </c>
      <c r="G917">
        <v>300</v>
      </c>
      <c r="H917">
        <v>2</v>
      </c>
      <c r="I917" s="16">
        <f t="shared" si="166"/>
        <v>600</v>
      </c>
      <c r="J917">
        <v>0</v>
      </c>
      <c r="K917">
        <f t="shared" si="167"/>
        <v>0</v>
      </c>
      <c r="L917">
        <f t="shared" si="165"/>
        <v>2</v>
      </c>
      <c r="M917">
        <f t="shared" si="168"/>
        <v>600</v>
      </c>
      <c r="N917">
        <f t="shared" si="169"/>
        <v>150</v>
      </c>
      <c r="O917">
        <f t="shared" si="170"/>
        <v>450</v>
      </c>
      <c r="R917" s="21" t="str">
        <f>_xlfn.TEXTJOIN("  by ",TRUE,B916,C916)</f>
        <v>Nazhuvum Nerangal  by Vaasanthi</v>
      </c>
    </row>
    <row r="918" spans="1:18" hidden="1" x14ac:dyDescent="0.3">
      <c r="A918">
        <v>3981</v>
      </c>
      <c r="B918" t="s">
        <v>1914</v>
      </c>
      <c r="C918" t="s">
        <v>1880</v>
      </c>
      <c r="D918" t="s">
        <v>1915</v>
      </c>
      <c r="E918" t="s">
        <v>13</v>
      </c>
      <c r="F918" t="s">
        <v>44</v>
      </c>
      <c r="G918">
        <v>290</v>
      </c>
      <c r="H918">
        <v>2</v>
      </c>
      <c r="I918" s="16">
        <f t="shared" si="166"/>
        <v>580</v>
      </c>
      <c r="J918">
        <v>2</v>
      </c>
      <c r="K918">
        <f t="shared" si="167"/>
        <v>580</v>
      </c>
      <c r="L918">
        <f t="shared" si="165"/>
        <v>0</v>
      </c>
      <c r="M918">
        <f t="shared" si="168"/>
        <v>0</v>
      </c>
      <c r="N918">
        <f t="shared" si="169"/>
        <v>0</v>
      </c>
      <c r="O918">
        <f t="shared" si="170"/>
        <v>0</v>
      </c>
    </row>
    <row r="919" spans="1:18" hidden="1" x14ac:dyDescent="0.3">
      <c r="A919">
        <v>4927</v>
      </c>
      <c r="B919" t="s">
        <v>1916</v>
      </c>
      <c r="C919" t="s">
        <v>1880</v>
      </c>
      <c r="D919" t="s">
        <v>1917</v>
      </c>
      <c r="E919" t="s">
        <v>13</v>
      </c>
      <c r="F919" t="s">
        <v>44</v>
      </c>
      <c r="G919">
        <v>300</v>
      </c>
      <c r="H919">
        <v>2</v>
      </c>
      <c r="I919" s="16">
        <f t="shared" si="166"/>
        <v>600</v>
      </c>
      <c r="J919">
        <v>2</v>
      </c>
      <c r="K919">
        <f t="shared" si="167"/>
        <v>600</v>
      </c>
      <c r="L919">
        <f t="shared" si="165"/>
        <v>0</v>
      </c>
      <c r="M919">
        <f t="shared" si="168"/>
        <v>0</v>
      </c>
      <c r="N919">
        <f t="shared" si="169"/>
        <v>0</v>
      </c>
      <c r="O919">
        <f t="shared" si="170"/>
        <v>0</v>
      </c>
    </row>
    <row r="920" spans="1:18" hidden="1" x14ac:dyDescent="0.3">
      <c r="A920">
        <v>7757</v>
      </c>
      <c r="B920" t="s">
        <v>1918</v>
      </c>
      <c r="C920" t="s">
        <v>1880</v>
      </c>
      <c r="D920" t="s">
        <v>1919</v>
      </c>
      <c r="E920" t="s">
        <v>13</v>
      </c>
      <c r="F920" t="s">
        <v>14</v>
      </c>
      <c r="G920">
        <v>160</v>
      </c>
      <c r="H920">
        <v>2</v>
      </c>
      <c r="I920" s="16">
        <f t="shared" si="166"/>
        <v>320</v>
      </c>
      <c r="J920">
        <v>2</v>
      </c>
      <c r="K920">
        <f t="shared" si="167"/>
        <v>320</v>
      </c>
      <c r="L920">
        <f t="shared" si="165"/>
        <v>0</v>
      </c>
      <c r="M920">
        <f t="shared" si="168"/>
        <v>0</v>
      </c>
      <c r="N920">
        <f t="shared" si="169"/>
        <v>0</v>
      </c>
      <c r="O920">
        <f t="shared" si="170"/>
        <v>0</v>
      </c>
    </row>
    <row r="921" spans="1:18" ht="18.3" x14ac:dyDescent="0.4">
      <c r="A921">
        <v>6028</v>
      </c>
      <c r="B921" t="s">
        <v>1920</v>
      </c>
      <c r="C921" t="s">
        <v>1880</v>
      </c>
      <c r="D921" t="s">
        <v>1921</v>
      </c>
      <c r="E921" t="s">
        <v>13</v>
      </c>
      <c r="F921" t="s">
        <v>44</v>
      </c>
      <c r="G921">
        <v>180</v>
      </c>
      <c r="H921">
        <v>2</v>
      </c>
      <c r="I921" s="16">
        <f t="shared" si="166"/>
        <v>360</v>
      </c>
      <c r="J921">
        <v>1</v>
      </c>
      <c r="K921">
        <f t="shared" si="167"/>
        <v>180</v>
      </c>
      <c r="L921">
        <f t="shared" si="165"/>
        <v>1</v>
      </c>
      <c r="M921">
        <f t="shared" si="168"/>
        <v>180</v>
      </c>
      <c r="N921">
        <f t="shared" si="169"/>
        <v>45</v>
      </c>
      <c r="O921">
        <f t="shared" si="170"/>
        <v>135</v>
      </c>
      <c r="R921" s="21" t="str">
        <f t="shared" ref="R921:R922" si="173">_xlfn.TEXTJOIN("  by ",TRUE,B920,C920)</f>
        <v>Nizhalgal  by Vaasanthi</v>
      </c>
    </row>
    <row r="922" spans="1:18" ht="18.3" x14ac:dyDescent="0.4">
      <c r="A922">
        <v>3867</v>
      </c>
      <c r="B922" t="s">
        <v>1922</v>
      </c>
      <c r="C922" t="s">
        <v>1880</v>
      </c>
      <c r="D922" t="s">
        <v>1923</v>
      </c>
      <c r="E922" t="s">
        <v>13</v>
      </c>
      <c r="F922" t="s">
        <v>44</v>
      </c>
      <c r="G922">
        <v>140</v>
      </c>
      <c r="H922">
        <v>2</v>
      </c>
      <c r="I922" s="16">
        <f t="shared" si="166"/>
        <v>280</v>
      </c>
      <c r="J922">
        <v>0</v>
      </c>
      <c r="K922">
        <f t="shared" si="167"/>
        <v>0</v>
      </c>
      <c r="L922">
        <f t="shared" si="165"/>
        <v>2</v>
      </c>
      <c r="M922">
        <f t="shared" si="168"/>
        <v>280</v>
      </c>
      <c r="N922">
        <f t="shared" si="169"/>
        <v>70</v>
      </c>
      <c r="O922">
        <f t="shared" si="170"/>
        <v>210</v>
      </c>
      <c r="R922" s="21" t="str">
        <f t="shared" si="173"/>
        <v>Paravaigal Parakkindrana  by Vaasanthi</v>
      </c>
    </row>
    <row r="923" spans="1:18" hidden="1" x14ac:dyDescent="0.3">
      <c r="A923">
        <v>3569</v>
      </c>
      <c r="B923" t="s">
        <v>1924</v>
      </c>
      <c r="C923" t="s">
        <v>1880</v>
      </c>
      <c r="D923" t="s">
        <v>1925</v>
      </c>
      <c r="E923" t="s">
        <v>13</v>
      </c>
      <c r="F923" t="s">
        <v>44</v>
      </c>
      <c r="G923">
        <v>80</v>
      </c>
      <c r="H923">
        <v>2</v>
      </c>
      <c r="I923" s="16">
        <f t="shared" si="166"/>
        <v>160</v>
      </c>
      <c r="J923">
        <v>2</v>
      </c>
      <c r="K923">
        <f t="shared" si="167"/>
        <v>160</v>
      </c>
      <c r="L923">
        <f t="shared" si="165"/>
        <v>0</v>
      </c>
      <c r="M923">
        <f t="shared" si="168"/>
        <v>0</v>
      </c>
      <c r="N923">
        <f t="shared" si="169"/>
        <v>0</v>
      </c>
      <c r="O923">
        <f t="shared" si="170"/>
        <v>0</v>
      </c>
    </row>
    <row r="924" spans="1:18" hidden="1" x14ac:dyDescent="0.3">
      <c r="A924">
        <v>3539</v>
      </c>
      <c r="B924" t="s">
        <v>1926</v>
      </c>
      <c r="C924" t="s">
        <v>1880</v>
      </c>
      <c r="D924" t="s">
        <v>1927</v>
      </c>
      <c r="E924" t="s">
        <v>13</v>
      </c>
      <c r="F924" t="s">
        <v>44</v>
      </c>
      <c r="G924">
        <v>340</v>
      </c>
      <c r="H924">
        <v>2</v>
      </c>
      <c r="I924" s="16">
        <f t="shared" si="166"/>
        <v>680</v>
      </c>
      <c r="J924">
        <v>2</v>
      </c>
      <c r="K924">
        <f t="shared" si="167"/>
        <v>680</v>
      </c>
      <c r="L924">
        <f t="shared" si="165"/>
        <v>0</v>
      </c>
      <c r="M924">
        <f t="shared" si="168"/>
        <v>0</v>
      </c>
      <c r="N924">
        <f t="shared" si="169"/>
        <v>0</v>
      </c>
      <c r="O924">
        <f t="shared" si="170"/>
        <v>0</v>
      </c>
    </row>
    <row r="925" spans="1:18" ht="18.3" x14ac:dyDescent="0.4">
      <c r="A925">
        <v>6044</v>
      </c>
      <c r="B925" t="s">
        <v>1928</v>
      </c>
      <c r="C925" t="s">
        <v>1880</v>
      </c>
      <c r="D925" t="s">
        <v>1929</v>
      </c>
      <c r="E925" t="s">
        <v>13</v>
      </c>
      <c r="F925" t="s">
        <v>44</v>
      </c>
      <c r="G925">
        <v>220</v>
      </c>
      <c r="H925">
        <v>2</v>
      </c>
      <c r="I925" s="16">
        <f t="shared" si="166"/>
        <v>440</v>
      </c>
      <c r="J925">
        <v>1</v>
      </c>
      <c r="K925">
        <f t="shared" si="167"/>
        <v>220</v>
      </c>
      <c r="L925">
        <f t="shared" si="165"/>
        <v>1</v>
      </c>
      <c r="M925">
        <f t="shared" si="168"/>
        <v>220</v>
      </c>
      <c r="N925">
        <f t="shared" si="169"/>
        <v>55</v>
      </c>
      <c r="O925">
        <f t="shared" si="170"/>
        <v>165</v>
      </c>
      <c r="R925" s="21" t="str">
        <f>_xlfn.TEXTJOIN("  by ",TRUE,B924,C924)</f>
        <v>Poiyil Pootha Nijam  by Vaasanthi</v>
      </c>
    </row>
    <row r="926" spans="1:18" hidden="1" x14ac:dyDescent="0.3">
      <c r="A926">
        <v>5858</v>
      </c>
      <c r="B926" t="s">
        <v>1930</v>
      </c>
      <c r="C926" t="s">
        <v>1880</v>
      </c>
      <c r="D926" t="s">
        <v>1931</v>
      </c>
      <c r="E926" t="s">
        <v>13</v>
      </c>
      <c r="F926" t="s">
        <v>14</v>
      </c>
      <c r="G926">
        <v>160</v>
      </c>
      <c r="H926">
        <v>2</v>
      </c>
      <c r="I926" s="16">
        <f t="shared" si="166"/>
        <v>320</v>
      </c>
      <c r="J926">
        <v>2</v>
      </c>
      <c r="K926">
        <f t="shared" si="167"/>
        <v>320</v>
      </c>
      <c r="L926">
        <f t="shared" si="165"/>
        <v>0</v>
      </c>
      <c r="M926">
        <f t="shared" si="168"/>
        <v>0</v>
      </c>
      <c r="N926">
        <f t="shared" si="169"/>
        <v>0</v>
      </c>
      <c r="O926">
        <f t="shared" si="170"/>
        <v>0</v>
      </c>
    </row>
    <row r="927" spans="1:18" hidden="1" x14ac:dyDescent="0.3">
      <c r="A927">
        <v>5853</v>
      </c>
      <c r="B927" t="s">
        <v>1932</v>
      </c>
      <c r="C927" t="s">
        <v>1880</v>
      </c>
      <c r="D927" t="s">
        <v>1933</v>
      </c>
      <c r="E927" t="s">
        <v>13</v>
      </c>
      <c r="F927" t="s">
        <v>44</v>
      </c>
      <c r="G927">
        <v>310</v>
      </c>
      <c r="H927">
        <v>2</v>
      </c>
      <c r="I927" s="16">
        <f t="shared" si="166"/>
        <v>620</v>
      </c>
      <c r="J927">
        <v>2</v>
      </c>
      <c r="K927">
        <f t="shared" si="167"/>
        <v>620</v>
      </c>
      <c r="L927">
        <f t="shared" si="165"/>
        <v>0</v>
      </c>
      <c r="M927">
        <f t="shared" si="168"/>
        <v>0</v>
      </c>
      <c r="N927">
        <f t="shared" si="169"/>
        <v>0</v>
      </c>
      <c r="O927">
        <f t="shared" si="170"/>
        <v>0</v>
      </c>
    </row>
    <row r="928" spans="1:18" hidden="1" x14ac:dyDescent="0.3">
      <c r="A928">
        <v>3516</v>
      </c>
      <c r="B928" t="s">
        <v>1934</v>
      </c>
      <c r="C928" t="s">
        <v>1880</v>
      </c>
      <c r="D928" t="s">
        <v>1935</v>
      </c>
      <c r="E928" t="s">
        <v>13</v>
      </c>
      <c r="F928" t="s">
        <v>14</v>
      </c>
      <c r="G928">
        <v>120</v>
      </c>
      <c r="H928">
        <v>2</v>
      </c>
      <c r="I928" s="16">
        <f t="shared" si="166"/>
        <v>240</v>
      </c>
      <c r="J928">
        <v>2</v>
      </c>
      <c r="K928">
        <f t="shared" si="167"/>
        <v>240</v>
      </c>
      <c r="L928">
        <f t="shared" si="165"/>
        <v>0</v>
      </c>
      <c r="M928">
        <f t="shared" si="168"/>
        <v>0</v>
      </c>
      <c r="N928">
        <f t="shared" si="169"/>
        <v>0</v>
      </c>
      <c r="O928">
        <f t="shared" si="170"/>
        <v>0</v>
      </c>
    </row>
    <row r="929" spans="1:18" ht="18.3" x14ac:dyDescent="0.4">
      <c r="A929">
        <v>6046</v>
      </c>
      <c r="B929" t="s">
        <v>1936</v>
      </c>
      <c r="C929" t="s">
        <v>1880</v>
      </c>
      <c r="D929" t="s">
        <v>1937</v>
      </c>
      <c r="E929" t="s">
        <v>13</v>
      </c>
      <c r="F929" t="s">
        <v>44</v>
      </c>
      <c r="G929">
        <v>240</v>
      </c>
      <c r="H929">
        <v>2</v>
      </c>
      <c r="I929" s="16">
        <f t="shared" si="166"/>
        <v>480</v>
      </c>
      <c r="J929">
        <v>0</v>
      </c>
      <c r="K929">
        <f t="shared" si="167"/>
        <v>0</v>
      </c>
      <c r="L929">
        <f t="shared" si="165"/>
        <v>2</v>
      </c>
      <c r="M929">
        <f t="shared" si="168"/>
        <v>480</v>
      </c>
      <c r="N929">
        <f t="shared" si="169"/>
        <v>120</v>
      </c>
      <c r="O929">
        <f t="shared" si="170"/>
        <v>360</v>
      </c>
      <c r="R929" s="21" t="str">
        <f t="shared" ref="R929:R931" si="174">_xlfn.TEXTJOIN("  by ",TRUE,B928,C928)</f>
        <v>Santhanakaadugal  by Vaasanthi</v>
      </c>
    </row>
    <row r="930" spans="1:18" ht="18.3" x14ac:dyDescent="0.4">
      <c r="A930">
        <v>3864</v>
      </c>
      <c r="B930" t="s">
        <v>1938</v>
      </c>
      <c r="C930" t="s">
        <v>1880</v>
      </c>
      <c r="D930" t="s">
        <v>1939</v>
      </c>
      <c r="E930" t="s">
        <v>13</v>
      </c>
      <c r="F930" t="s">
        <v>44</v>
      </c>
      <c r="G930">
        <v>230</v>
      </c>
      <c r="H930">
        <v>2</v>
      </c>
      <c r="I930" s="16">
        <f t="shared" si="166"/>
        <v>460</v>
      </c>
      <c r="J930">
        <v>1</v>
      </c>
      <c r="K930">
        <f t="shared" si="167"/>
        <v>230</v>
      </c>
      <c r="L930">
        <f t="shared" si="165"/>
        <v>1</v>
      </c>
      <c r="M930">
        <f t="shared" si="168"/>
        <v>230</v>
      </c>
      <c r="N930">
        <f t="shared" si="169"/>
        <v>57.5</v>
      </c>
      <c r="O930">
        <f t="shared" si="170"/>
        <v>172.5</v>
      </c>
      <c r="R930" s="21" t="str">
        <f t="shared" si="174"/>
        <v>Shurthi Bethangal  by Vaasanthi</v>
      </c>
    </row>
    <row r="931" spans="1:18" ht="18.3" x14ac:dyDescent="0.4">
      <c r="A931">
        <v>5860</v>
      </c>
      <c r="B931" t="s">
        <v>1940</v>
      </c>
      <c r="C931" t="s">
        <v>1880</v>
      </c>
      <c r="D931" t="s">
        <v>1941</v>
      </c>
      <c r="E931" t="s">
        <v>13</v>
      </c>
      <c r="F931" t="s">
        <v>14</v>
      </c>
      <c r="G931">
        <v>370</v>
      </c>
      <c r="H931">
        <v>2</v>
      </c>
      <c r="I931" s="16">
        <f t="shared" si="166"/>
        <v>740</v>
      </c>
      <c r="J931">
        <v>1</v>
      </c>
      <c r="K931">
        <f t="shared" si="167"/>
        <v>370</v>
      </c>
      <c r="L931">
        <f t="shared" si="165"/>
        <v>1</v>
      </c>
      <c r="M931">
        <f t="shared" si="168"/>
        <v>370</v>
      </c>
      <c r="N931">
        <f t="shared" si="169"/>
        <v>92.5</v>
      </c>
      <c r="O931">
        <f t="shared" si="170"/>
        <v>277.5</v>
      </c>
      <c r="R931" s="21" t="str">
        <f t="shared" si="174"/>
        <v>Sirai!  by Vaasanthi</v>
      </c>
    </row>
    <row r="932" spans="1:18" hidden="1" x14ac:dyDescent="0.3">
      <c r="A932">
        <v>7762</v>
      </c>
      <c r="B932" t="s">
        <v>1942</v>
      </c>
      <c r="C932" t="s">
        <v>1880</v>
      </c>
      <c r="D932" t="s">
        <v>1943</v>
      </c>
      <c r="E932" t="s">
        <v>13</v>
      </c>
      <c r="F932" t="s">
        <v>44</v>
      </c>
      <c r="G932">
        <v>220</v>
      </c>
      <c r="H932">
        <v>2</v>
      </c>
      <c r="I932" s="16">
        <f t="shared" si="166"/>
        <v>440</v>
      </c>
      <c r="J932">
        <v>2</v>
      </c>
      <c r="K932">
        <f t="shared" si="167"/>
        <v>440</v>
      </c>
      <c r="L932">
        <f t="shared" ref="L932:L995" si="175">H932-J932</f>
        <v>0</v>
      </c>
      <c r="M932">
        <f t="shared" si="168"/>
        <v>0</v>
      </c>
      <c r="N932">
        <f t="shared" si="169"/>
        <v>0</v>
      </c>
      <c r="O932">
        <f t="shared" si="170"/>
        <v>0</v>
      </c>
    </row>
    <row r="933" spans="1:18" hidden="1" x14ac:dyDescent="0.3">
      <c r="A933">
        <v>4100</v>
      </c>
      <c r="B933" t="s">
        <v>1944</v>
      </c>
      <c r="C933" t="s">
        <v>1880</v>
      </c>
      <c r="D933" t="s">
        <v>1945</v>
      </c>
      <c r="E933" t="s">
        <v>13</v>
      </c>
      <c r="F933" t="s">
        <v>14</v>
      </c>
      <c r="G933">
        <v>200</v>
      </c>
      <c r="H933">
        <v>2</v>
      </c>
      <c r="I933" s="16">
        <f t="shared" si="166"/>
        <v>400</v>
      </c>
      <c r="J933">
        <v>2</v>
      </c>
      <c r="K933">
        <f t="shared" si="167"/>
        <v>400</v>
      </c>
      <c r="L933">
        <f t="shared" si="175"/>
        <v>0</v>
      </c>
      <c r="M933">
        <f t="shared" si="168"/>
        <v>0</v>
      </c>
      <c r="N933">
        <f t="shared" si="169"/>
        <v>0</v>
      </c>
      <c r="O933">
        <f t="shared" si="170"/>
        <v>0</v>
      </c>
    </row>
    <row r="934" spans="1:18" hidden="1" x14ac:dyDescent="0.3">
      <c r="A934">
        <v>6179</v>
      </c>
      <c r="B934" t="s">
        <v>1946</v>
      </c>
      <c r="C934" t="s">
        <v>1880</v>
      </c>
      <c r="D934" t="s">
        <v>1947</v>
      </c>
      <c r="E934" t="s">
        <v>13</v>
      </c>
      <c r="F934" t="s">
        <v>44</v>
      </c>
      <c r="G934">
        <v>220</v>
      </c>
      <c r="H934">
        <v>2</v>
      </c>
      <c r="I934" s="16">
        <f t="shared" si="166"/>
        <v>440</v>
      </c>
      <c r="J934">
        <v>2</v>
      </c>
      <c r="K934">
        <f t="shared" si="167"/>
        <v>440</v>
      </c>
      <c r="L934">
        <f t="shared" si="175"/>
        <v>0</v>
      </c>
      <c r="M934">
        <f t="shared" si="168"/>
        <v>0</v>
      </c>
      <c r="N934">
        <f t="shared" si="169"/>
        <v>0</v>
      </c>
      <c r="O934">
        <f t="shared" si="170"/>
        <v>0</v>
      </c>
    </row>
    <row r="935" spans="1:18" ht="18.3" x14ac:dyDescent="0.4">
      <c r="A935">
        <v>3870</v>
      </c>
      <c r="B935" t="s">
        <v>1948</v>
      </c>
      <c r="C935" t="s">
        <v>1880</v>
      </c>
      <c r="D935" t="s">
        <v>1949</v>
      </c>
      <c r="E935" t="s">
        <v>13</v>
      </c>
      <c r="F935" t="s">
        <v>44</v>
      </c>
      <c r="G935">
        <v>270</v>
      </c>
      <c r="H935">
        <v>2</v>
      </c>
      <c r="I935" s="16">
        <f t="shared" si="166"/>
        <v>540</v>
      </c>
      <c r="J935">
        <v>1</v>
      </c>
      <c r="K935">
        <f t="shared" si="167"/>
        <v>270</v>
      </c>
      <c r="L935">
        <f t="shared" si="175"/>
        <v>1</v>
      </c>
      <c r="M935">
        <f t="shared" si="168"/>
        <v>270</v>
      </c>
      <c r="N935">
        <f t="shared" si="169"/>
        <v>67.5</v>
      </c>
      <c r="O935">
        <f t="shared" si="170"/>
        <v>202.5</v>
      </c>
      <c r="R935" s="21" t="str">
        <f t="shared" ref="R935:R937" si="176">_xlfn.TEXTJOIN("  by ",TRUE,B934,C934)</f>
        <v>Thirakkatha Jannalgal  by Vaasanthi</v>
      </c>
    </row>
    <row r="936" spans="1:18" ht="18.3" x14ac:dyDescent="0.4">
      <c r="A936">
        <v>4232</v>
      </c>
      <c r="B936" t="s">
        <v>1950</v>
      </c>
      <c r="C936" t="s">
        <v>1880</v>
      </c>
      <c r="D936" t="s">
        <v>1951</v>
      </c>
      <c r="E936" t="s">
        <v>13</v>
      </c>
      <c r="F936" t="s">
        <v>44</v>
      </c>
      <c r="G936">
        <v>310</v>
      </c>
      <c r="H936">
        <v>2</v>
      </c>
      <c r="I936" s="16">
        <f t="shared" si="166"/>
        <v>620</v>
      </c>
      <c r="J936">
        <v>1</v>
      </c>
      <c r="K936">
        <f t="shared" si="167"/>
        <v>310</v>
      </c>
      <c r="L936">
        <f t="shared" si="175"/>
        <v>1</v>
      </c>
      <c r="M936">
        <f t="shared" si="168"/>
        <v>310</v>
      </c>
      <c r="N936">
        <f t="shared" si="169"/>
        <v>77.5</v>
      </c>
      <c r="O936">
        <f t="shared" si="170"/>
        <v>232.5</v>
      </c>
      <c r="R936" s="21" t="str">
        <f t="shared" si="176"/>
        <v>Thunaivi  by Vaasanthi</v>
      </c>
    </row>
    <row r="937" spans="1:18" ht="18.3" x14ac:dyDescent="0.4">
      <c r="A937">
        <v>3674</v>
      </c>
      <c r="B937" t="s">
        <v>1952</v>
      </c>
      <c r="C937" t="s">
        <v>1880</v>
      </c>
      <c r="D937" t="s">
        <v>1953</v>
      </c>
      <c r="E937" t="s">
        <v>13</v>
      </c>
      <c r="F937" t="s">
        <v>44</v>
      </c>
      <c r="G937">
        <v>300</v>
      </c>
      <c r="H937">
        <v>2</v>
      </c>
      <c r="I937" s="16">
        <f t="shared" si="166"/>
        <v>600</v>
      </c>
      <c r="J937">
        <v>1</v>
      </c>
      <c r="K937">
        <f t="shared" si="167"/>
        <v>300</v>
      </c>
      <c r="L937">
        <f t="shared" si="175"/>
        <v>1</v>
      </c>
      <c r="M937">
        <f t="shared" si="168"/>
        <v>300</v>
      </c>
      <c r="N937">
        <f t="shared" si="169"/>
        <v>75</v>
      </c>
      <c r="O937">
        <f t="shared" si="170"/>
        <v>225</v>
      </c>
      <c r="R937" s="21" t="str">
        <f t="shared" si="176"/>
        <v>Thurathum Ninaivugal Azhaikkum Kanavugal  by Vaasanthi</v>
      </c>
    </row>
    <row r="938" spans="1:18" hidden="1" x14ac:dyDescent="0.3">
      <c r="A938">
        <v>3776</v>
      </c>
      <c r="B938" t="s">
        <v>1954</v>
      </c>
      <c r="C938" t="s">
        <v>1880</v>
      </c>
      <c r="D938" t="s">
        <v>1955</v>
      </c>
      <c r="E938" t="s">
        <v>13</v>
      </c>
      <c r="F938" t="s">
        <v>44</v>
      </c>
      <c r="G938">
        <v>310</v>
      </c>
      <c r="H938">
        <v>2</v>
      </c>
      <c r="I938" s="16">
        <f t="shared" si="166"/>
        <v>620</v>
      </c>
      <c r="J938">
        <v>2</v>
      </c>
      <c r="K938">
        <f t="shared" si="167"/>
        <v>620</v>
      </c>
      <c r="L938">
        <f t="shared" si="175"/>
        <v>0</v>
      </c>
      <c r="M938">
        <f t="shared" si="168"/>
        <v>0</v>
      </c>
      <c r="N938">
        <f t="shared" si="169"/>
        <v>0</v>
      </c>
      <c r="O938">
        <f t="shared" si="170"/>
        <v>0</v>
      </c>
    </row>
    <row r="939" spans="1:18" ht="18.3" x14ac:dyDescent="0.4">
      <c r="A939">
        <v>3521</v>
      </c>
      <c r="B939" t="s">
        <v>1956</v>
      </c>
      <c r="C939" t="s">
        <v>1880</v>
      </c>
      <c r="D939" t="s">
        <v>1957</v>
      </c>
      <c r="E939" t="s">
        <v>13</v>
      </c>
      <c r="F939" t="s">
        <v>14</v>
      </c>
      <c r="G939">
        <v>280</v>
      </c>
      <c r="H939">
        <v>2</v>
      </c>
      <c r="I939" s="16">
        <f t="shared" si="166"/>
        <v>560</v>
      </c>
      <c r="J939">
        <v>1</v>
      </c>
      <c r="K939">
        <f t="shared" si="167"/>
        <v>280</v>
      </c>
      <c r="L939">
        <f t="shared" si="175"/>
        <v>1</v>
      </c>
      <c r="M939">
        <f t="shared" si="168"/>
        <v>280</v>
      </c>
      <c r="N939">
        <f t="shared" si="169"/>
        <v>70</v>
      </c>
      <c r="O939">
        <f t="shared" si="170"/>
        <v>210</v>
      </c>
      <c r="R939" s="21" t="str">
        <f>_xlfn.TEXTJOIN("  by ",TRUE,B938,C938)</f>
        <v>Valliname Melliname  by Vaasanthi</v>
      </c>
    </row>
    <row r="940" spans="1:18" hidden="1" x14ac:dyDescent="0.3">
      <c r="A940">
        <v>3675</v>
      </c>
      <c r="B940" t="s">
        <v>1958</v>
      </c>
      <c r="C940" t="s">
        <v>1880</v>
      </c>
      <c r="D940" t="s">
        <v>1959</v>
      </c>
      <c r="E940" t="s">
        <v>13</v>
      </c>
      <c r="F940" t="s">
        <v>44</v>
      </c>
      <c r="G940">
        <v>210</v>
      </c>
      <c r="H940">
        <v>2</v>
      </c>
      <c r="I940" s="16">
        <f t="shared" si="166"/>
        <v>420</v>
      </c>
      <c r="J940">
        <v>2</v>
      </c>
      <c r="K940">
        <f t="shared" si="167"/>
        <v>420</v>
      </c>
      <c r="L940">
        <f t="shared" si="175"/>
        <v>0</v>
      </c>
      <c r="M940">
        <f t="shared" si="168"/>
        <v>0</v>
      </c>
      <c r="N940">
        <f t="shared" si="169"/>
        <v>0</v>
      </c>
      <c r="O940">
        <f t="shared" si="170"/>
        <v>0</v>
      </c>
    </row>
    <row r="941" spans="1:18" hidden="1" x14ac:dyDescent="0.3">
      <c r="A941">
        <v>4007</v>
      </c>
      <c r="B941" t="s">
        <v>1960</v>
      </c>
      <c r="C941" t="s">
        <v>1880</v>
      </c>
      <c r="D941" t="s">
        <v>1961</v>
      </c>
      <c r="E941" t="s">
        <v>13</v>
      </c>
      <c r="F941" t="s">
        <v>44</v>
      </c>
      <c r="G941">
        <v>200</v>
      </c>
      <c r="H941">
        <v>2</v>
      </c>
      <c r="I941" s="16">
        <f t="shared" si="166"/>
        <v>400</v>
      </c>
      <c r="J941">
        <v>2</v>
      </c>
      <c r="K941">
        <f t="shared" si="167"/>
        <v>400</v>
      </c>
      <c r="L941">
        <f t="shared" si="175"/>
        <v>0</v>
      </c>
      <c r="M941">
        <f t="shared" si="168"/>
        <v>0</v>
      </c>
      <c r="N941">
        <f t="shared" si="169"/>
        <v>0</v>
      </c>
      <c r="O941">
        <f t="shared" si="170"/>
        <v>0</v>
      </c>
    </row>
    <row r="942" spans="1:18" ht="18.3" x14ac:dyDescent="0.4">
      <c r="A942">
        <v>3676</v>
      </c>
      <c r="B942" t="s">
        <v>1962</v>
      </c>
      <c r="C942" t="s">
        <v>1880</v>
      </c>
      <c r="D942" t="s">
        <v>1963</v>
      </c>
      <c r="E942" t="s">
        <v>13</v>
      </c>
      <c r="F942" t="s">
        <v>44</v>
      </c>
      <c r="G942">
        <v>420</v>
      </c>
      <c r="H942">
        <v>2</v>
      </c>
      <c r="I942" s="16">
        <f t="shared" si="166"/>
        <v>840</v>
      </c>
      <c r="J942">
        <v>1</v>
      </c>
      <c r="K942">
        <f t="shared" si="167"/>
        <v>420</v>
      </c>
      <c r="L942">
        <f t="shared" si="175"/>
        <v>1</v>
      </c>
      <c r="M942">
        <f t="shared" si="168"/>
        <v>420</v>
      </c>
      <c r="N942">
        <f t="shared" si="169"/>
        <v>105</v>
      </c>
      <c r="O942">
        <f t="shared" si="170"/>
        <v>315</v>
      </c>
      <c r="R942" s="21" t="str">
        <f>_xlfn.TEXTJOIN("  by ",TRUE,B941,C941)</f>
        <v>Vergalai Thedi….  by Vaasanthi</v>
      </c>
    </row>
    <row r="943" spans="1:18" hidden="1" x14ac:dyDescent="0.3">
      <c r="A943">
        <v>4065</v>
      </c>
      <c r="B943" t="s">
        <v>1964</v>
      </c>
      <c r="C943" t="s">
        <v>1880</v>
      </c>
      <c r="D943" t="s">
        <v>1965</v>
      </c>
      <c r="E943" t="s">
        <v>13</v>
      </c>
      <c r="F943" t="s">
        <v>44</v>
      </c>
      <c r="G943">
        <v>290</v>
      </c>
      <c r="H943">
        <v>2</v>
      </c>
      <c r="I943" s="16">
        <f t="shared" si="166"/>
        <v>580</v>
      </c>
      <c r="J943">
        <v>2</v>
      </c>
      <c r="K943">
        <f t="shared" si="167"/>
        <v>580</v>
      </c>
      <c r="L943">
        <f t="shared" si="175"/>
        <v>0</v>
      </c>
      <c r="M943">
        <f t="shared" si="168"/>
        <v>0</v>
      </c>
      <c r="N943">
        <f t="shared" si="169"/>
        <v>0</v>
      </c>
      <c r="O943">
        <f t="shared" si="170"/>
        <v>0</v>
      </c>
    </row>
    <row r="944" spans="1:18" hidden="1" x14ac:dyDescent="0.3">
      <c r="A944">
        <v>5446</v>
      </c>
      <c r="B944" t="s">
        <v>1966</v>
      </c>
      <c r="C944" t="s">
        <v>1967</v>
      </c>
      <c r="D944" t="s">
        <v>1968</v>
      </c>
      <c r="E944" t="s">
        <v>13</v>
      </c>
      <c r="F944" t="s">
        <v>14</v>
      </c>
      <c r="G944">
        <v>90</v>
      </c>
      <c r="H944">
        <v>2</v>
      </c>
      <c r="I944" s="16">
        <f t="shared" si="166"/>
        <v>180</v>
      </c>
      <c r="J944">
        <v>2</v>
      </c>
      <c r="K944">
        <f t="shared" si="167"/>
        <v>180</v>
      </c>
      <c r="L944">
        <f t="shared" si="175"/>
        <v>0</v>
      </c>
      <c r="M944">
        <f t="shared" si="168"/>
        <v>0</v>
      </c>
      <c r="N944">
        <f t="shared" si="169"/>
        <v>0</v>
      </c>
      <c r="O944">
        <f t="shared" si="170"/>
        <v>0</v>
      </c>
    </row>
    <row r="945" spans="1:18" ht="18.3" x14ac:dyDescent="0.4">
      <c r="A945">
        <v>2611</v>
      </c>
      <c r="B945" t="s">
        <v>1969</v>
      </c>
      <c r="C945" t="s">
        <v>1967</v>
      </c>
      <c r="D945" t="s">
        <v>1970</v>
      </c>
      <c r="E945" t="s">
        <v>13</v>
      </c>
      <c r="F945" t="s">
        <v>14</v>
      </c>
      <c r="G945">
        <v>380</v>
      </c>
      <c r="H945">
        <v>2</v>
      </c>
      <c r="I945" s="16">
        <f t="shared" si="166"/>
        <v>760</v>
      </c>
      <c r="J945">
        <v>0</v>
      </c>
      <c r="K945">
        <f t="shared" si="167"/>
        <v>0</v>
      </c>
      <c r="L945">
        <f t="shared" si="175"/>
        <v>2</v>
      </c>
      <c r="M945">
        <f t="shared" si="168"/>
        <v>760</v>
      </c>
      <c r="N945">
        <f t="shared" si="169"/>
        <v>190</v>
      </c>
      <c r="O945">
        <f t="shared" si="170"/>
        <v>570</v>
      </c>
      <c r="R945" s="21" t="str">
        <f t="shared" ref="R945:R949" si="177">_xlfn.TEXTJOIN("  by ",TRUE,B944,C944)</f>
        <v>Aagasa Garudan  by Vidya Subramaniam</v>
      </c>
    </row>
    <row r="946" spans="1:18" ht="18.3" x14ac:dyDescent="0.4">
      <c r="A946">
        <v>3901</v>
      </c>
      <c r="B946" t="s">
        <v>1971</v>
      </c>
      <c r="C946" t="s">
        <v>1967</v>
      </c>
      <c r="D946" t="s">
        <v>1972</v>
      </c>
      <c r="E946" t="s">
        <v>13</v>
      </c>
      <c r="F946" t="s">
        <v>14</v>
      </c>
      <c r="G946">
        <v>220</v>
      </c>
      <c r="H946">
        <v>2</v>
      </c>
      <c r="I946" s="16">
        <f t="shared" si="166"/>
        <v>440</v>
      </c>
      <c r="J946">
        <v>1</v>
      </c>
      <c r="K946">
        <f t="shared" si="167"/>
        <v>220</v>
      </c>
      <c r="L946">
        <f t="shared" si="175"/>
        <v>1</v>
      </c>
      <c r="M946">
        <f t="shared" si="168"/>
        <v>220</v>
      </c>
      <c r="N946">
        <f t="shared" si="169"/>
        <v>55</v>
      </c>
      <c r="O946">
        <f t="shared" si="170"/>
        <v>165</v>
      </c>
      <c r="R946" s="21" t="str">
        <f t="shared" si="177"/>
        <v>Aagasa Thoothu  by Vidya Subramaniam</v>
      </c>
    </row>
    <row r="947" spans="1:18" ht="18.3" x14ac:dyDescent="0.4">
      <c r="A947">
        <v>3514</v>
      </c>
      <c r="B947" t="s">
        <v>1973</v>
      </c>
      <c r="C947" t="s">
        <v>1967</v>
      </c>
      <c r="D947" t="s">
        <v>1974</v>
      </c>
      <c r="E947" t="s">
        <v>13</v>
      </c>
      <c r="F947" t="s">
        <v>14</v>
      </c>
      <c r="G947">
        <v>280</v>
      </c>
      <c r="H947">
        <v>2</v>
      </c>
      <c r="I947" s="16">
        <f t="shared" si="166"/>
        <v>560</v>
      </c>
      <c r="J947">
        <v>1</v>
      </c>
      <c r="K947">
        <f t="shared" si="167"/>
        <v>280</v>
      </c>
      <c r="L947">
        <f t="shared" si="175"/>
        <v>1</v>
      </c>
      <c r="M947">
        <f t="shared" si="168"/>
        <v>280</v>
      </c>
      <c r="N947">
        <f t="shared" si="169"/>
        <v>70</v>
      </c>
      <c r="O947">
        <f t="shared" si="170"/>
        <v>210</v>
      </c>
      <c r="R947" s="21" t="str">
        <f t="shared" si="177"/>
        <v>Aagayam Arugil Varum  by Vidya Subramaniam</v>
      </c>
    </row>
    <row r="948" spans="1:18" ht="18.3" x14ac:dyDescent="0.4">
      <c r="A948">
        <v>5357</v>
      </c>
      <c r="B948" t="s">
        <v>1975</v>
      </c>
      <c r="C948" t="s">
        <v>1967</v>
      </c>
      <c r="D948" t="s">
        <v>1976</v>
      </c>
      <c r="E948" t="s">
        <v>13</v>
      </c>
      <c r="F948" t="s">
        <v>39</v>
      </c>
      <c r="G948">
        <v>120</v>
      </c>
      <c r="H948">
        <v>2</v>
      </c>
      <c r="I948" s="16">
        <f t="shared" si="166"/>
        <v>240</v>
      </c>
      <c r="J948">
        <v>1</v>
      </c>
      <c r="K948">
        <f t="shared" si="167"/>
        <v>120</v>
      </c>
      <c r="L948">
        <f t="shared" si="175"/>
        <v>1</v>
      </c>
      <c r="M948">
        <f t="shared" si="168"/>
        <v>120</v>
      </c>
      <c r="N948">
        <f t="shared" si="169"/>
        <v>30</v>
      </c>
      <c r="O948">
        <f t="shared" si="170"/>
        <v>90</v>
      </c>
      <c r="R948" s="21" t="str">
        <f t="shared" si="177"/>
        <v>Aahaya Malargal  by Vidya Subramaniam</v>
      </c>
    </row>
    <row r="949" spans="1:18" ht="18.3" x14ac:dyDescent="0.4">
      <c r="A949">
        <v>3774</v>
      </c>
      <c r="B949" t="s">
        <v>1977</v>
      </c>
      <c r="C949" t="s">
        <v>1967</v>
      </c>
      <c r="D949" t="s">
        <v>1978</v>
      </c>
      <c r="E949" t="s">
        <v>13</v>
      </c>
      <c r="F949" t="s">
        <v>463</v>
      </c>
      <c r="G949">
        <v>290</v>
      </c>
      <c r="H949">
        <v>2</v>
      </c>
      <c r="I949" s="16">
        <f t="shared" si="166"/>
        <v>580</v>
      </c>
      <c r="J949">
        <v>1</v>
      </c>
      <c r="K949">
        <f t="shared" si="167"/>
        <v>290</v>
      </c>
      <c r="L949">
        <f t="shared" si="175"/>
        <v>1</v>
      </c>
      <c r="M949">
        <f t="shared" si="168"/>
        <v>290</v>
      </c>
      <c r="N949">
        <f t="shared" si="169"/>
        <v>72.5</v>
      </c>
      <c r="O949">
        <f t="shared" si="170"/>
        <v>217.5</v>
      </c>
      <c r="R949" s="21" t="str">
        <f t="shared" si="177"/>
        <v>Aasai Alaigal  by Vidya Subramaniam</v>
      </c>
    </row>
    <row r="950" spans="1:18" hidden="1" x14ac:dyDescent="0.3">
      <c r="A950">
        <v>2921</v>
      </c>
      <c r="B950" t="s">
        <v>1979</v>
      </c>
      <c r="C950" t="s">
        <v>1967</v>
      </c>
      <c r="D950" t="s">
        <v>1980</v>
      </c>
      <c r="E950" t="s">
        <v>13</v>
      </c>
      <c r="F950" t="s">
        <v>136</v>
      </c>
      <c r="G950">
        <v>380</v>
      </c>
      <c r="H950">
        <v>2</v>
      </c>
      <c r="I950" s="16">
        <f t="shared" si="166"/>
        <v>760</v>
      </c>
      <c r="J950">
        <v>2</v>
      </c>
      <c r="K950">
        <f t="shared" si="167"/>
        <v>760</v>
      </c>
      <c r="L950">
        <f t="shared" si="175"/>
        <v>0</v>
      </c>
      <c r="M950">
        <f t="shared" si="168"/>
        <v>0</v>
      </c>
      <c r="N950">
        <f t="shared" si="169"/>
        <v>0</v>
      </c>
      <c r="O950">
        <f t="shared" si="170"/>
        <v>0</v>
      </c>
    </row>
    <row r="951" spans="1:18" ht="18.3" x14ac:dyDescent="0.4">
      <c r="A951">
        <v>5345</v>
      </c>
      <c r="B951" t="s">
        <v>1981</v>
      </c>
      <c r="C951" t="s">
        <v>1967</v>
      </c>
      <c r="D951" t="s">
        <v>1982</v>
      </c>
      <c r="E951" t="s">
        <v>13</v>
      </c>
      <c r="F951" t="s">
        <v>14</v>
      </c>
      <c r="G951">
        <v>130</v>
      </c>
      <c r="H951">
        <v>2</v>
      </c>
      <c r="I951" s="16">
        <f t="shared" si="166"/>
        <v>260</v>
      </c>
      <c r="J951">
        <v>0</v>
      </c>
      <c r="K951">
        <f t="shared" si="167"/>
        <v>0</v>
      </c>
      <c r="L951">
        <f t="shared" si="175"/>
        <v>2</v>
      </c>
      <c r="M951">
        <f t="shared" si="168"/>
        <v>260</v>
      </c>
      <c r="N951">
        <f t="shared" si="169"/>
        <v>65</v>
      </c>
      <c r="O951">
        <f t="shared" si="170"/>
        <v>195</v>
      </c>
      <c r="R951" s="21" t="str">
        <f>_xlfn.TEXTJOIN("  by ",TRUE,B950,C950)</f>
        <v>Agni Puthri  by Vidya Subramaniam</v>
      </c>
    </row>
    <row r="952" spans="1:18" hidden="1" x14ac:dyDescent="0.3">
      <c r="A952">
        <v>3519</v>
      </c>
      <c r="B952" t="s">
        <v>1983</v>
      </c>
      <c r="C952" t="s">
        <v>1967</v>
      </c>
      <c r="D952" t="s">
        <v>1984</v>
      </c>
      <c r="E952" t="s">
        <v>13</v>
      </c>
      <c r="F952" t="s">
        <v>14</v>
      </c>
      <c r="G952">
        <v>170</v>
      </c>
      <c r="H952">
        <v>2</v>
      </c>
      <c r="I952" s="16">
        <f t="shared" si="166"/>
        <v>340</v>
      </c>
      <c r="J952">
        <v>2</v>
      </c>
      <c r="K952">
        <f t="shared" si="167"/>
        <v>340</v>
      </c>
      <c r="L952">
        <f t="shared" si="175"/>
        <v>0</v>
      </c>
      <c r="M952">
        <f t="shared" si="168"/>
        <v>0</v>
      </c>
      <c r="N952">
        <f t="shared" si="169"/>
        <v>0</v>
      </c>
      <c r="O952">
        <f t="shared" si="170"/>
        <v>0</v>
      </c>
    </row>
    <row r="953" spans="1:18" ht="18.3" x14ac:dyDescent="0.4">
      <c r="A953">
        <v>5539</v>
      </c>
      <c r="B953" t="s">
        <v>1985</v>
      </c>
      <c r="C953" t="s">
        <v>1967</v>
      </c>
      <c r="D953" t="s">
        <v>1986</v>
      </c>
      <c r="E953" t="s">
        <v>13</v>
      </c>
      <c r="F953" t="s">
        <v>44</v>
      </c>
      <c r="G953">
        <v>300</v>
      </c>
      <c r="H953">
        <v>2</v>
      </c>
      <c r="I953" s="16">
        <f t="shared" si="166"/>
        <v>600</v>
      </c>
      <c r="J953">
        <v>1</v>
      </c>
      <c r="K953">
        <f t="shared" si="167"/>
        <v>300</v>
      </c>
      <c r="L953">
        <f t="shared" si="175"/>
        <v>1</v>
      </c>
      <c r="M953">
        <f t="shared" si="168"/>
        <v>300</v>
      </c>
      <c r="N953">
        <f t="shared" si="169"/>
        <v>75</v>
      </c>
      <c r="O953">
        <f t="shared" si="170"/>
        <v>225</v>
      </c>
      <c r="R953" s="21" t="str">
        <f>_xlfn.TEXTJOIN("  by ",TRUE,B952,C952)</f>
        <v>Amma Pillai  by Vidya Subramaniam</v>
      </c>
    </row>
    <row r="954" spans="1:18" hidden="1" x14ac:dyDescent="0.3">
      <c r="A954">
        <v>3556</v>
      </c>
      <c r="B954" t="s">
        <v>1987</v>
      </c>
      <c r="C954" t="s">
        <v>1967</v>
      </c>
      <c r="D954" t="s">
        <v>1988</v>
      </c>
      <c r="E954" t="s">
        <v>13</v>
      </c>
      <c r="F954" t="s">
        <v>14</v>
      </c>
      <c r="G954" s="6">
        <v>130</v>
      </c>
      <c r="H954">
        <v>2</v>
      </c>
      <c r="I954" s="16">
        <f t="shared" si="166"/>
        <v>260</v>
      </c>
      <c r="J954">
        <v>2</v>
      </c>
      <c r="K954">
        <f t="shared" si="167"/>
        <v>260</v>
      </c>
      <c r="L954">
        <f t="shared" si="175"/>
        <v>0</v>
      </c>
      <c r="M954">
        <f t="shared" si="168"/>
        <v>0</v>
      </c>
      <c r="N954">
        <f t="shared" si="169"/>
        <v>0</v>
      </c>
      <c r="O954">
        <f t="shared" si="170"/>
        <v>0</v>
      </c>
    </row>
    <row r="955" spans="1:18" ht="18.3" x14ac:dyDescent="0.4">
      <c r="A955">
        <v>3180</v>
      </c>
      <c r="B955" t="s">
        <v>1989</v>
      </c>
      <c r="C955" t="s">
        <v>1967</v>
      </c>
      <c r="D955" t="s">
        <v>1990</v>
      </c>
      <c r="E955" t="s">
        <v>13</v>
      </c>
      <c r="F955" t="s">
        <v>14</v>
      </c>
      <c r="G955">
        <v>110</v>
      </c>
      <c r="H955">
        <v>2</v>
      </c>
      <c r="I955" s="16">
        <f t="shared" si="166"/>
        <v>220</v>
      </c>
      <c r="J955">
        <v>1</v>
      </c>
      <c r="K955">
        <f t="shared" si="167"/>
        <v>110</v>
      </c>
      <c r="L955">
        <f t="shared" si="175"/>
        <v>1</v>
      </c>
      <c r="M955">
        <f t="shared" si="168"/>
        <v>110</v>
      </c>
      <c r="N955">
        <f t="shared" si="169"/>
        <v>27.5</v>
      </c>
      <c r="O955">
        <f t="shared" si="170"/>
        <v>82.5</v>
      </c>
      <c r="R955" s="21" t="str">
        <f t="shared" ref="R955:R956" si="178">_xlfn.TEXTJOIN("  by ",TRUE,B954,C954)</f>
        <v>Anbukku Panjamillai  by Vidya Subramaniam</v>
      </c>
    </row>
    <row r="956" spans="1:18" ht="18.3" x14ac:dyDescent="0.4">
      <c r="A956">
        <v>4945</v>
      </c>
      <c r="B956" t="s">
        <v>1991</v>
      </c>
      <c r="C956" t="s">
        <v>1967</v>
      </c>
      <c r="D956" t="s">
        <v>1992</v>
      </c>
      <c r="E956" t="s">
        <v>13</v>
      </c>
      <c r="F956" t="s">
        <v>14</v>
      </c>
      <c r="G956">
        <v>70</v>
      </c>
      <c r="H956">
        <v>2</v>
      </c>
      <c r="I956" s="16">
        <f t="shared" si="166"/>
        <v>140</v>
      </c>
      <c r="J956">
        <v>0</v>
      </c>
      <c r="K956">
        <f t="shared" si="167"/>
        <v>0</v>
      </c>
      <c r="L956">
        <f t="shared" si="175"/>
        <v>2</v>
      </c>
      <c r="M956">
        <f t="shared" si="168"/>
        <v>140</v>
      </c>
      <c r="N956">
        <f t="shared" si="169"/>
        <v>35</v>
      </c>
      <c r="O956">
        <f t="shared" si="170"/>
        <v>105</v>
      </c>
      <c r="R956" s="21" t="str">
        <f t="shared" si="178"/>
        <v>Androru Naal  by Vidya Subramaniam</v>
      </c>
    </row>
    <row r="957" spans="1:18" hidden="1" x14ac:dyDescent="0.3">
      <c r="A957">
        <v>5781</v>
      </c>
      <c r="B957" t="s">
        <v>1993</v>
      </c>
      <c r="C957" t="s">
        <v>1967</v>
      </c>
      <c r="D957" t="s">
        <v>1994</v>
      </c>
      <c r="E957" t="s">
        <v>13</v>
      </c>
      <c r="F957" t="s">
        <v>14</v>
      </c>
      <c r="G957">
        <v>90</v>
      </c>
      <c r="H957">
        <v>2</v>
      </c>
      <c r="I957" s="16">
        <f t="shared" si="166"/>
        <v>180</v>
      </c>
      <c r="J957">
        <v>2</v>
      </c>
      <c r="K957">
        <f t="shared" si="167"/>
        <v>180</v>
      </c>
      <c r="L957">
        <f t="shared" si="175"/>
        <v>0</v>
      </c>
      <c r="M957">
        <f t="shared" si="168"/>
        <v>0</v>
      </c>
      <c r="N957">
        <f t="shared" si="169"/>
        <v>0</v>
      </c>
      <c r="O957">
        <f t="shared" si="170"/>
        <v>0</v>
      </c>
    </row>
    <row r="958" spans="1:18" hidden="1" x14ac:dyDescent="0.3">
      <c r="A958">
        <v>895</v>
      </c>
      <c r="B958" t="s">
        <v>1995</v>
      </c>
      <c r="C958" t="s">
        <v>1967</v>
      </c>
      <c r="D958" t="s">
        <v>1996</v>
      </c>
      <c r="E958" t="s">
        <v>13</v>
      </c>
      <c r="F958" t="s">
        <v>14</v>
      </c>
      <c r="G958">
        <v>230</v>
      </c>
      <c r="H958">
        <v>2</v>
      </c>
      <c r="I958" s="16">
        <f t="shared" si="166"/>
        <v>460</v>
      </c>
      <c r="J958">
        <v>2</v>
      </c>
      <c r="K958">
        <f t="shared" si="167"/>
        <v>460</v>
      </c>
      <c r="L958">
        <f t="shared" si="175"/>
        <v>0</v>
      </c>
      <c r="M958">
        <f t="shared" si="168"/>
        <v>0</v>
      </c>
      <c r="N958">
        <f t="shared" si="169"/>
        <v>0</v>
      </c>
      <c r="O958">
        <f t="shared" si="170"/>
        <v>0</v>
      </c>
    </row>
    <row r="959" spans="1:18" hidden="1" x14ac:dyDescent="0.3">
      <c r="A959">
        <v>1717</v>
      </c>
      <c r="B959" t="s">
        <v>1997</v>
      </c>
      <c r="C959" t="s">
        <v>1967</v>
      </c>
      <c r="D959" t="s">
        <v>1998</v>
      </c>
      <c r="E959" t="s">
        <v>13</v>
      </c>
      <c r="F959" t="s">
        <v>44</v>
      </c>
      <c r="G959">
        <v>270</v>
      </c>
      <c r="H959">
        <v>2</v>
      </c>
      <c r="I959" s="16">
        <f t="shared" si="166"/>
        <v>540</v>
      </c>
      <c r="J959">
        <v>2</v>
      </c>
      <c r="K959">
        <f t="shared" si="167"/>
        <v>540</v>
      </c>
      <c r="L959">
        <f t="shared" si="175"/>
        <v>0</v>
      </c>
      <c r="M959">
        <f t="shared" si="168"/>
        <v>0</v>
      </c>
      <c r="N959">
        <f t="shared" si="169"/>
        <v>0</v>
      </c>
      <c r="O959">
        <f t="shared" si="170"/>
        <v>0</v>
      </c>
    </row>
    <row r="960" spans="1:18" hidden="1" x14ac:dyDescent="0.3">
      <c r="A960">
        <v>5351</v>
      </c>
      <c r="B960" t="s">
        <v>1999</v>
      </c>
      <c r="C960" t="s">
        <v>1967</v>
      </c>
      <c r="D960" t="s">
        <v>2000</v>
      </c>
      <c r="E960" t="s">
        <v>13</v>
      </c>
      <c r="F960" t="s">
        <v>39</v>
      </c>
      <c r="G960">
        <v>100</v>
      </c>
      <c r="H960">
        <v>2</v>
      </c>
      <c r="I960" s="16">
        <f t="shared" si="166"/>
        <v>200</v>
      </c>
      <c r="J960">
        <v>2</v>
      </c>
      <c r="K960">
        <f t="shared" si="167"/>
        <v>200</v>
      </c>
      <c r="L960">
        <f t="shared" si="175"/>
        <v>0</v>
      </c>
      <c r="M960">
        <f t="shared" si="168"/>
        <v>0</v>
      </c>
      <c r="N960">
        <f t="shared" si="169"/>
        <v>0</v>
      </c>
      <c r="O960">
        <f t="shared" si="170"/>
        <v>0</v>
      </c>
    </row>
    <row r="961" spans="1:18" hidden="1" x14ac:dyDescent="0.3">
      <c r="A961">
        <v>3830</v>
      </c>
      <c r="B961" t="s">
        <v>2001</v>
      </c>
      <c r="C961" t="s">
        <v>1967</v>
      </c>
      <c r="D961" t="s">
        <v>2002</v>
      </c>
      <c r="E961" t="s">
        <v>13</v>
      </c>
      <c r="F961" t="s">
        <v>44</v>
      </c>
      <c r="G961">
        <v>140</v>
      </c>
      <c r="H961">
        <v>2</v>
      </c>
      <c r="I961" s="16">
        <f t="shared" si="166"/>
        <v>280</v>
      </c>
      <c r="J961">
        <v>2</v>
      </c>
      <c r="K961">
        <f t="shared" si="167"/>
        <v>280</v>
      </c>
      <c r="L961">
        <f t="shared" si="175"/>
        <v>0</v>
      </c>
      <c r="M961">
        <f t="shared" si="168"/>
        <v>0</v>
      </c>
      <c r="N961">
        <f t="shared" si="169"/>
        <v>0</v>
      </c>
      <c r="O961">
        <f t="shared" si="170"/>
        <v>0</v>
      </c>
    </row>
    <row r="962" spans="1:18" hidden="1" x14ac:dyDescent="0.3">
      <c r="A962">
        <v>5350</v>
      </c>
      <c r="B962" t="s">
        <v>2003</v>
      </c>
      <c r="C962" t="s">
        <v>1967</v>
      </c>
      <c r="D962" t="s">
        <v>2004</v>
      </c>
      <c r="E962" t="s">
        <v>13</v>
      </c>
      <c r="F962" t="s">
        <v>39</v>
      </c>
      <c r="G962">
        <v>120</v>
      </c>
      <c r="H962">
        <v>2</v>
      </c>
      <c r="I962" s="16">
        <f t="shared" si="166"/>
        <v>240</v>
      </c>
      <c r="J962">
        <v>2</v>
      </c>
      <c r="K962">
        <f t="shared" si="167"/>
        <v>240</v>
      </c>
      <c r="L962">
        <f t="shared" si="175"/>
        <v>0</v>
      </c>
      <c r="M962">
        <f t="shared" si="168"/>
        <v>0</v>
      </c>
      <c r="N962">
        <f t="shared" si="169"/>
        <v>0</v>
      </c>
      <c r="O962">
        <f t="shared" si="170"/>
        <v>0</v>
      </c>
    </row>
    <row r="963" spans="1:18" hidden="1" x14ac:dyDescent="0.3">
      <c r="A963">
        <v>3179</v>
      </c>
      <c r="B963" t="s">
        <v>2005</v>
      </c>
      <c r="C963" t="s">
        <v>1967</v>
      </c>
      <c r="D963" t="s">
        <v>2006</v>
      </c>
      <c r="E963" t="s">
        <v>13</v>
      </c>
      <c r="F963" t="s">
        <v>14</v>
      </c>
      <c r="G963">
        <v>290</v>
      </c>
      <c r="H963">
        <v>2</v>
      </c>
      <c r="I963" s="16">
        <f t="shared" ref="I963:I1026" si="179">H963*G963</f>
        <v>580</v>
      </c>
      <c r="J963">
        <v>2</v>
      </c>
      <c r="K963">
        <f t="shared" ref="K963:K1026" si="180">J963*G963</f>
        <v>580</v>
      </c>
      <c r="L963">
        <f t="shared" si="175"/>
        <v>0</v>
      </c>
      <c r="M963">
        <f t="shared" ref="M963:M1026" si="181">L963*G963</f>
        <v>0</v>
      </c>
      <c r="N963">
        <f t="shared" ref="N963:N1026" si="182">M963*0.25</f>
        <v>0</v>
      </c>
      <c r="O963">
        <f t="shared" ref="O963:O1026" si="183">M963-N963</f>
        <v>0</v>
      </c>
    </row>
    <row r="964" spans="1:18" hidden="1" x14ac:dyDescent="0.3">
      <c r="A964">
        <v>3223</v>
      </c>
      <c r="B964" t="s">
        <v>2007</v>
      </c>
      <c r="C964" t="s">
        <v>1967</v>
      </c>
      <c r="D964" t="s">
        <v>2008</v>
      </c>
      <c r="E964" t="s">
        <v>13</v>
      </c>
      <c r="F964" t="s">
        <v>44</v>
      </c>
      <c r="G964">
        <v>100</v>
      </c>
      <c r="H964">
        <v>2</v>
      </c>
      <c r="I964" s="16">
        <f t="shared" si="179"/>
        <v>200</v>
      </c>
      <c r="J964">
        <v>2</v>
      </c>
      <c r="K964">
        <f t="shared" si="180"/>
        <v>200</v>
      </c>
      <c r="L964">
        <f t="shared" si="175"/>
        <v>0</v>
      </c>
      <c r="M964">
        <f t="shared" si="181"/>
        <v>0</v>
      </c>
      <c r="N964">
        <f t="shared" si="182"/>
        <v>0</v>
      </c>
      <c r="O964">
        <f t="shared" si="183"/>
        <v>0</v>
      </c>
    </row>
    <row r="965" spans="1:18" hidden="1" x14ac:dyDescent="0.3">
      <c r="A965">
        <v>6060</v>
      </c>
      <c r="B965" t="s">
        <v>2009</v>
      </c>
      <c r="C965" t="s">
        <v>1967</v>
      </c>
      <c r="D965" t="s">
        <v>2010</v>
      </c>
      <c r="E965" t="s">
        <v>13</v>
      </c>
      <c r="F965" t="s">
        <v>14</v>
      </c>
      <c r="G965">
        <v>110</v>
      </c>
      <c r="H965">
        <v>2</v>
      </c>
      <c r="I965" s="16">
        <f t="shared" si="179"/>
        <v>220</v>
      </c>
      <c r="J965">
        <v>2</v>
      </c>
      <c r="K965">
        <f t="shared" si="180"/>
        <v>220</v>
      </c>
      <c r="L965">
        <f t="shared" si="175"/>
        <v>0</v>
      </c>
      <c r="M965">
        <f t="shared" si="181"/>
        <v>0</v>
      </c>
      <c r="N965">
        <f t="shared" si="182"/>
        <v>0</v>
      </c>
      <c r="O965">
        <f t="shared" si="183"/>
        <v>0</v>
      </c>
    </row>
    <row r="966" spans="1:18" hidden="1" x14ac:dyDescent="0.3">
      <c r="A966">
        <v>6061</v>
      </c>
      <c r="B966" t="s">
        <v>2011</v>
      </c>
      <c r="C966" t="s">
        <v>1967</v>
      </c>
      <c r="D966" t="s">
        <v>2012</v>
      </c>
      <c r="E966" t="s">
        <v>13</v>
      </c>
      <c r="F966" t="s">
        <v>39</v>
      </c>
      <c r="G966">
        <v>100</v>
      </c>
      <c r="H966">
        <v>2</v>
      </c>
      <c r="I966" s="16">
        <f t="shared" si="179"/>
        <v>200</v>
      </c>
      <c r="J966">
        <v>2</v>
      </c>
      <c r="K966">
        <f t="shared" si="180"/>
        <v>200</v>
      </c>
      <c r="L966">
        <f t="shared" si="175"/>
        <v>0</v>
      </c>
      <c r="M966">
        <f t="shared" si="181"/>
        <v>0</v>
      </c>
      <c r="N966">
        <f t="shared" si="182"/>
        <v>0</v>
      </c>
      <c r="O966">
        <f t="shared" si="183"/>
        <v>0</v>
      </c>
    </row>
    <row r="967" spans="1:18" hidden="1" x14ac:dyDescent="0.3">
      <c r="A967">
        <v>4532</v>
      </c>
      <c r="B967" t="s">
        <v>2013</v>
      </c>
      <c r="C967" t="s">
        <v>1967</v>
      </c>
      <c r="D967" t="s">
        <v>2014</v>
      </c>
      <c r="E967" t="s">
        <v>13</v>
      </c>
      <c r="F967" t="s">
        <v>39</v>
      </c>
      <c r="G967">
        <v>120</v>
      </c>
      <c r="H967">
        <v>2</v>
      </c>
      <c r="I967" s="16">
        <f t="shared" si="179"/>
        <v>240</v>
      </c>
      <c r="J967">
        <v>2</v>
      </c>
      <c r="K967">
        <f t="shared" si="180"/>
        <v>240</v>
      </c>
      <c r="L967">
        <f t="shared" si="175"/>
        <v>0</v>
      </c>
      <c r="M967">
        <f t="shared" si="181"/>
        <v>0</v>
      </c>
      <c r="N967">
        <f t="shared" si="182"/>
        <v>0</v>
      </c>
      <c r="O967">
        <f t="shared" si="183"/>
        <v>0</v>
      </c>
    </row>
    <row r="968" spans="1:18" hidden="1" x14ac:dyDescent="0.3">
      <c r="A968">
        <v>5354</v>
      </c>
      <c r="B968" t="s">
        <v>2015</v>
      </c>
      <c r="C968" t="s">
        <v>1967</v>
      </c>
      <c r="D968" t="s">
        <v>2016</v>
      </c>
      <c r="E968" t="s">
        <v>13</v>
      </c>
      <c r="F968" t="s">
        <v>14</v>
      </c>
      <c r="G968">
        <v>100</v>
      </c>
      <c r="H968">
        <v>2</v>
      </c>
      <c r="I968" s="16">
        <f t="shared" si="179"/>
        <v>200</v>
      </c>
      <c r="J968">
        <v>2</v>
      </c>
      <c r="K968">
        <f t="shared" si="180"/>
        <v>200</v>
      </c>
      <c r="L968">
        <f t="shared" si="175"/>
        <v>0</v>
      </c>
      <c r="M968">
        <f t="shared" si="181"/>
        <v>0</v>
      </c>
      <c r="N968">
        <f t="shared" si="182"/>
        <v>0</v>
      </c>
      <c r="O968">
        <f t="shared" si="183"/>
        <v>0</v>
      </c>
    </row>
    <row r="969" spans="1:18" hidden="1" x14ac:dyDescent="0.3">
      <c r="A969">
        <v>7317</v>
      </c>
      <c r="B969" t="s">
        <v>2017</v>
      </c>
      <c r="C969" t="s">
        <v>1967</v>
      </c>
      <c r="D969" t="s">
        <v>2018</v>
      </c>
      <c r="E969" t="s">
        <v>13</v>
      </c>
      <c r="F969" t="s">
        <v>44</v>
      </c>
      <c r="G969">
        <v>230</v>
      </c>
      <c r="H969">
        <v>2</v>
      </c>
      <c r="I969" s="16">
        <f t="shared" si="179"/>
        <v>460</v>
      </c>
      <c r="J969">
        <v>2</v>
      </c>
      <c r="K969">
        <f t="shared" si="180"/>
        <v>460</v>
      </c>
      <c r="L969">
        <f t="shared" si="175"/>
        <v>0</v>
      </c>
      <c r="M969">
        <f t="shared" si="181"/>
        <v>0</v>
      </c>
      <c r="N969">
        <f t="shared" si="182"/>
        <v>0</v>
      </c>
      <c r="O969">
        <f t="shared" si="183"/>
        <v>0</v>
      </c>
    </row>
    <row r="970" spans="1:18" hidden="1" x14ac:dyDescent="0.3">
      <c r="A970">
        <v>7315</v>
      </c>
      <c r="B970" t="s">
        <v>2019</v>
      </c>
      <c r="C970" t="s">
        <v>1967</v>
      </c>
      <c r="D970" t="s">
        <v>2020</v>
      </c>
      <c r="E970" t="s">
        <v>13</v>
      </c>
      <c r="F970" t="s">
        <v>44</v>
      </c>
      <c r="G970">
        <v>260</v>
      </c>
      <c r="H970">
        <v>2</v>
      </c>
      <c r="I970" s="16">
        <f t="shared" si="179"/>
        <v>520</v>
      </c>
      <c r="J970">
        <v>2</v>
      </c>
      <c r="K970">
        <f t="shared" si="180"/>
        <v>520</v>
      </c>
      <c r="L970">
        <f t="shared" si="175"/>
        <v>0</v>
      </c>
      <c r="M970">
        <f t="shared" si="181"/>
        <v>0</v>
      </c>
      <c r="N970">
        <f t="shared" si="182"/>
        <v>0</v>
      </c>
      <c r="O970">
        <f t="shared" si="183"/>
        <v>0</v>
      </c>
    </row>
    <row r="971" spans="1:18" hidden="1" x14ac:dyDescent="0.3">
      <c r="A971">
        <v>5362</v>
      </c>
      <c r="B971" t="s">
        <v>2021</v>
      </c>
      <c r="C971" t="s">
        <v>1967</v>
      </c>
      <c r="D971" t="s">
        <v>2022</v>
      </c>
      <c r="E971" t="s">
        <v>13</v>
      </c>
      <c r="F971" t="s">
        <v>14</v>
      </c>
      <c r="G971">
        <v>140</v>
      </c>
      <c r="H971">
        <v>2</v>
      </c>
      <c r="I971" s="16">
        <f t="shared" si="179"/>
        <v>280</v>
      </c>
      <c r="J971">
        <v>2</v>
      </c>
      <c r="K971">
        <f t="shared" si="180"/>
        <v>280</v>
      </c>
      <c r="L971">
        <f t="shared" si="175"/>
        <v>0</v>
      </c>
      <c r="M971">
        <f t="shared" si="181"/>
        <v>0</v>
      </c>
      <c r="N971">
        <f t="shared" si="182"/>
        <v>0</v>
      </c>
      <c r="O971">
        <f t="shared" si="183"/>
        <v>0</v>
      </c>
    </row>
    <row r="972" spans="1:18" hidden="1" x14ac:dyDescent="0.3">
      <c r="A972">
        <v>9259</v>
      </c>
      <c r="B972" t="s">
        <v>2023</v>
      </c>
      <c r="C972" t="s">
        <v>1967</v>
      </c>
      <c r="D972" t="s">
        <v>2024</v>
      </c>
      <c r="E972" t="s">
        <v>13</v>
      </c>
      <c r="F972" t="s">
        <v>14</v>
      </c>
      <c r="G972">
        <v>150</v>
      </c>
      <c r="H972">
        <v>2</v>
      </c>
      <c r="I972" s="16">
        <f t="shared" si="179"/>
        <v>300</v>
      </c>
      <c r="J972">
        <v>2</v>
      </c>
      <c r="K972">
        <f t="shared" si="180"/>
        <v>300</v>
      </c>
      <c r="L972">
        <f t="shared" si="175"/>
        <v>0</v>
      </c>
      <c r="M972">
        <f t="shared" si="181"/>
        <v>0</v>
      </c>
      <c r="N972">
        <f t="shared" si="182"/>
        <v>0</v>
      </c>
      <c r="O972">
        <f t="shared" si="183"/>
        <v>0</v>
      </c>
    </row>
    <row r="973" spans="1:18" ht="18.3" x14ac:dyDescent="0.4">
      <c r="A973">
        <v>3146</v>
      </c>
      <c r="B973" t="s">
        <v>2025</v>
      </c>
      <c r="C973" t="s">
        <v>1967</v>
      </c>
      <c r="D973" t="s">
        <v>2026</v>
      </c>
      <c r="E973" t="s">
        <v>13</v>
      </c>
      <c r="F973" t="s">
        <v>44</v>
      </c>
      <c r="G973">
        <v>270</v>
      </c>
      <c r="H973">
        <v>2</v>
      </c>
      <c r="I973" s="16">
        <f t="shared" si="179"/>
        <v>540</v>
      </c>
      <c r="J973">
        <v>0</v>
      </c>
      <c r="K973">
        <f t="shared" si="180"/>
        <v>0</v>
      </c>
      <c r="L973">
        <f t="shared" si="175"/>
        <v>2</v>
      </c>
      <c r="M973">
        <f t="shared" si="181"/>
        <v>540</v>
      </c>
      <c r="N973">
        <f t="shared" si="182"/>
        <v>135</v>
      </c>
      <c r="O973">
        <f t="shared" si="183"/>
        <v>405</v>
      </c>
      <c r="R973" s="21" t="str">
        <f>_xlfn.TEXTJOIN("  by ",TRUE,B972,C972)</f>
        <v>Kundrena Nimirnthu...  by Vidya Subramaniam</v>
      </c>
    </row>
    <row r="974" spans="1:18" hidden="1" x14ac:dyDescent="0.3">
      <c r="A974">
        <v>1582</v>
      </c>
      <c r="B974" t="s">
        <v>2027</v>
      </c>
      <c r="C974" t="s">
        <v>1967</v>
      </c>
      <c r="D974" t="s">
        <v>2028</v>
      </c>
      <c r="E974" t="s">
        <v>13</v>
      </c>
      <c r="F974" t="s">
        <v>14</v>
      </c>
      <c r="G974">
        <v>140</v>
      </c>
      <c r="H974">
        <v>2</v>
      </c>
      <c r="I974" s="16">
        <f t="shared" si="179"/>
        <v>280</v>
      </c>
      <c r="J974">
        <v>2</v>
      </c>
      <c r="K974">
        <f t="shared" si="180"/>
        <v>280</v>
      </c>
      <c r="L974">
        <f t="shared" si="175"/>
        <v>0</v>
      </c>
      <c r="M974">
        <f t="shared" si="181"/>
        <v>0</v>
      </c>
      <c r="N974">
        <f t="shared" si="182"/>
        <v>0</v>
      </c>
      <c r="O974">
        <f t="shared" si="183"/>
        <v>0</v>
      </c>
    </row>
    <row r="975" spans="1:18" ht="18.3" x14ac:dyDescent="0.4">
      <c r="A975">
        <v>10596</v>
      </c>
      <c r="B975" t="s">
        <v>2029</v>
      </c>
      <c r="C975" t="s">
        <v>1967</v>
      </c>
      <c r="D975" t="s">
        <v>2030</v>
      </c>
      <c r="E975" t="s">
        <v>13</v>
      </c>
      <c r="F975" t="s">
        <v>14</v>
      </c>
      <c r="G975">
        <v>410</v>
      </c>
      <c r="H975">
        <v>2</v>
      </c>
      <c r="I975" s="16">
        <f t="shared" si="179"/>
        <v>820</v>
      </c>
      <c r="J975">
        <v>1</v>
      </c>
      <c r="K975">
        <f t="shared" si="180"/>
        <v>410</v>
      </c>
      <c r="L975">
        <f t="shared" si="175"/>
        <v>1</v>
      </c>
      <c r="M975">
        <f t="shared" si="181"/>
        <v>410</v>
      </c>
      <c r="N975">
        <f t="shared" si="182"/>
        <v>102.5</v>
      </c>
      <c r="O975">
        <f t="shared" si="183"/>
        <v>307.5</v>
      </c>
      <c r="R975" s="21" t="str">
        <f>_xlfn.TEXTJOIN("  by ",TRUE,B974,C974)</f>
        <v>Mudhal Mazhai  by Vidya Subramaniam</v>
      </c>
    </row>
    <row r="976" spans="1:18" hidden="1" x14ac:dyDescent="0.3">
      <c r="A976">
        <v>861</v>
      </c>
      <c r="B976" t="s">
        <v>2031</v>
      </c>
      <c r="C976" t="s">
        <v>1967</v>
      </c>
      <c r="D976" t="s">
        <v>2032</v>
      </c>
      <c r="E976" t="s">
        <v>13</v>
      </c>
      <c r="F976" t="s">
        <v>14</v>
      </c>
      <c r="G976">
        <v>170</v>
      </c>
      <c r="H976">
        <v>2</v>
      </c>
      <c r="I976" s="16">
        <f t="shared" si="179"/>
        <v>340</v>
      </c>
      <c r="J976">
        <v>2</v>
      </c>
      <c r="K976">
        <f t="shared" si="180"/>
        <v>340</v>
      </c>
      <c r="L976">
        <f t="shared" si="175"/>
        <v>0</v>
      </c>
      <c r="M976">
        <f t="shared" si="181"/>
        <v>0</v>
      </c>
      <c r="N976">
        <f t="shared" si="182"/>
        <v>0</v>
      </c>
      <c r="O976">
        <f t="shared" si="183"/>
        <v>0</v>
      </c>
    </row>
    <row r="977" spans="1:18" hidden="1" x14ac:dyDescent="0.3">
      <c r="A977">
        <v>3917</v>
      </c>
      <c r="B977" t="s">
        <v>2033</v>
      </c>
      <c r="C977" t="s">
        <v>1967</v>
      </c>
      <c r="D977" t="s">
        <v>2034</v>
      </c>
      <c r="E977" t="s">
        <v>13</v>
      </c>
      <c r="F977" t="s">
        <v>14</v>
      </c>
      <c r="G977">
        <v>300</v>
      </c>
      <c r="H977">
        <v>2</v>
      </c>
      <c r="I977" s="16">
        <f t="shared" si="179"/>
        <v>600</v>
      </c>
      <c r="J977">
        <v>2</v>
      </c>
      <c r="K977">
        <f t="shared" si="180"/>
        <v>600</v>
      </c>
      <c r="L977">
        <f t="shared" si="175"/>
        <v>0</v>
      </c>
      <c r="M977">
        <f t="shared" si="181"/>
        <v>0</v>
      </c>
      <c r="N977">
        <f t="shared" si="182"/>
        <v>0</v>
      </c>
      <c r="O977">
        <f t="shared" si="183"/>
        <v>0</v>
      </c>
    </row>
    <row r="978" spans="1:18" hidden="1" x14ac:dyDescent="0.3">
      <c r="A978">
        <v>6063</v>
      </c>
      <c r="B978" t="s">
        <v>2035</v>
      </c>
      <c r="C978" t="s">
        <v>1967</v>
      </c>
      <c r="D978" t="s">
        <v>2036</v>
      </c>
      <c r="E978" t="s">
        <v>13</v>
      </c>
      <c r="F978" t="s">
        <v>14</v>
      </c>
      <c r="G978">
        <v>120</v>
      </c>
      <c r="H978">
        <v>2</v>
      </c>
      <c r="I978" s="16">
        <f t="shared" si="179"/>
        <v>240</v>
      </c>
      <c r="J978">
        <v>2</v>
      </c>
      <c r="K978">
        <f t="shared" si="180"/>
        <v>240</v>
      </c>
      <c r="L978">
        <f t="shared" si="175"/>
        <v>0</v>
      </c>
      <c r="M978">
        <f t="shared" si="181"/>
        <v>0</v>
      </c>
      <c r="N978">
        <f t="shared" si="182"/>
        <v>0</v>
      </c>
      <c r="O978">
        <f t="shared" si="183"/>
        <v>0</v>
      </c>
    </row>
    <row r="979" spans="1:18" ht="18.3" x14ac:dyDescent="0.4">
      <c r="A979">
        <v>4959</v>
      </c>
      <c r="B979" t="s">
        <v>2037</v>
      </c>
      <c r="C979" t="s">
        <v>1967</v>
      </c>
      <c r="D979" t="s">
        <v>2038</v>
      </c>
      <c r="E979" t="s">
        <v>13</v>
      </c>
      <c r="F979" t="s">
        <v>14</v>
      </c>
      <c r="G979">
        <v>260</v>
      </c>
      <c r="H979">
        <v>2</v>
      </c>
      <c r="I979" s="16">
        <f t="shared" si="179"/>
        <v>520</v>
      </c>
      <c r="J979">
        <v>1</v>
      </c>
      <c r="K979">
        <f t="shared" si="180"/>
        <v>260</v>
      </c>
      <c r="L979">
        <f t="shared" si="175"/>
        <v>1</v>
      </c>
      <c r="M979">
        <f t="shared" si="181"/>
        <v>260</v>
      </c>
      <c r="N979">
        <f t="shared" si="182"/>
        <v>65</v>
      </c>
      <c r="O979">
        <f t="shared" si="183"/>
        <v>195</v>
      </c>
      <c r="R979" s="21" t="str">
        <f>_xlfn.TEXTJOIN("  by ",TRUE,B978,C978)</f>
        <v>Ponnai Virumbum Boomiyile...  by Vidya Subramaniam</v>
      </c>
    </row>
    <row r="980" spans="1:18" hidden="1" x14ac:dyDescent="0.3">
      <c r="A980">
        <v>3881</v>
      </c>
      <c r="B980" t="s">
        <v>2039</v>
      </c>
      <c r="C980" t="s">
        <v>1967</v>
      </c>
      <c r="D980" t="s">
        <v>2040</v>
      </c>
      <c r="E980" t="s">
        <v>13</v>
      </c>
      <c r="F980" t="s">
        <v>39</v>
      </c>
      <c r="G980">
        <v>150</v>
      </c>
      <c r="H980">
        <v>2</v>
      </c>
      <c r="I980" s="16">
        <f t="shared" si="179"/>
        <v>300</v>
      </c>
      <c r="J980">
        <v>2</v>
      </c>
      <c r="K980">
        <f t="shared" si="180"/>
        <v>300</v>
      </c>
      <c r="L980">
        <f t="shared" si="175"/>
        <v>0</v>
      </c>
      <c r="M980">
        <f t="shared" si="181"/>
        <v>0</v>
      </c>
      <c r="N980">
        <f t="shared" si="182"/>
        <v>0</v>
      </c>
      <c r="O980">
        <f t="shared" si="183"/>
        <v>0</v>
      </c>
    </row>
    <row r="981" spans="1:18" hidden="1" x14ac:dyDescent="0.3">
      <c r="A981">
        <v>5445</v>
      </c>
      <c r="B981" t="s">
        <v>2041</v>
      </c>
      <c r="C981" t="s">
        <v>1967</v>
      </c>
      <c r="D981" t="s">
        <v>2042</v>
      </c>
      <c r="E981" t="s">
        <v>13</v>
      </c>
      <c r="F981" t="s">
        <v>39</v>
      </c>
      <c r="G981">
        <v>110</v>
      </c>
      <c r="H981">
        <v>2</v>
      </c>
      <c r="I981" s="16">
        <f t="shared" si="179"/>
        <v>220</v>
      </c>
      <c r="J981">
        <v>2</v>
      </c>
      <c r="K981">
        <f t="shared" si="180"/>
        <v>220</v>
      </c>
      <c r="L981">
        <f t="shared" si="175"/>
        <v>0</v>
      </c>
      <c r="M981">
        <f t="shared" si="181"/>
        <v>0</v>
      </c>
      <c r="N981">
        <f t="shared" si="182"/>
        <v>0</v>
      </c>
      <c r="O981">
        <f t="shared" si="183"/>
        <v>0</v>
      </c>
    </row>
    <row r="982" spans="1:18" hidden="1" x14ac:dyDescent="0.3">
      <c r="A982">
        <v>10475</v>
      </c>
      <c r="B982" t="s">
        <v>2043</v>
      </c>
      <c r="C982" t="s">
        <v>1967</v>
      </c>
      <c r="D982" t="s">
        <v>2044</v>
      </c>
      <c r="E982" t="s">
        <v>13</v>
      </c>
      <c r="F982" t="s">
        <v>44</v>
      </c>
      <c r="G982">
        <v>210</v>
      </c>
      <c r="H982">
        <v>2</v>
      </c>
      <c r="I982" s="16">
        <f t="shared" si="179"/>
        <v>420</v>
      </c>
      <c r="J982">
        <v>2</v>
      </c>
      <c r="K982">
        <f t="shared" si="180"/>
        <v>420</v>
      </c>
      <c r="L982">
        <f t="shared" si="175"/>
        <v>0</v>
      </c>
      <c r="M982">
        <f t="shared" si="181"/>
        <v>0</v>
      </c>
      <c r="N982">
        <f t="shared" si="182"/>
        <v>0</v>
      </c>
      <c r="O982">
        <f t="shared" si="183"/>
        <v>0</v>
      </c>
    </row>
    <row r="983" spans="1:18" hidden="1" x14ac:dyDescent="0.3">
      <c r="A983">
        <v>4032</v>
      </c>
      <c r="B983" t="s">
        <v>2045</v>
      </c>
      <c r="C983" t="s">
        <v>1967</v>
      </c>
      <c r="D983" t="s">
        <v>2046</v>
      </c>
      <c r="E983" t="s">
        <v>13</v>
      </c>
      <c r="F983" t="s">
        <v>14</v>
      </c>
      <c r="G983">
        <v>110</v>
      </c>
      <c r="H983">
        <v>2</v>
      </c>
      <c r="I983" s="16">
        <f t="shared" si="179"/>
        <v>220</v>
      </c>
      <c r="J983">
        <v>2</v>
      </c>
      <c r="K983">
        <f t="shared" si="180"/>
        <v>220</v>
      </c>
      <c r="L983">
        <f t="shared" si="175"/>
        <v>0</v>
      </c>
      <c r="M983">
        <f t="shared" si="181"/>
        <v>0</v>
      </c>
      <c r="N983">
        <f t="shared" si="182"/>
        <v>0</v>
      </c>
      <c r="O983">
        <f t="shared" si="183"/>
        <v>0</v>
      </c>
    </row>
    <row r="984" spans="1:18" hidden="1" x14ac:dyDescent="0.3">
      <c r="A984">
        <v>9884</v>
      </c>
      <c r="B984" t="s">
        <v>2047</v>
      </c>
      <c r="C984" t="s">
        <v>1967</v>
      </c>
      <c r="D984" t="s">
        <v>2048</v>
      </c>
      <c r="E984" t="s">
        <v>13</v>
      </c>
      <c r="F984" t="s">
        <v>44</v>
      </c>
      <c r="G984">
        <v>170</v>
      </c>
      <c r="H984">
        <v>2</v>
      </c>
      <c r="I984" s="16">
        <f t="shared" si="179"/>
        <v>340</v>
      </c>
      <c r="J984">
        <v>2</v>
      </c>
      <c r="K984">
        <f t="shared" si="180"/>
        <v>340</v>
      </c>
      <c r="L984">
        <f t="shared" si="175"/>
        <v>0</v>
      </c>
      <c r="M984">
        <f t="shared" si="181"/>
        <v>0</v>
      </c>
      <c r="N984">
        <f t="shared" si="182"/>
        <v>0</v>
      </c>
      <c r="O984">
        <f t="shared" si="183"/>
        <v>0</v>
      </c>
    </row>
    <row r="985" spans="1:18" ht="18.3" x14ac:dyDescent="0.4">
      <c r="A985">
        <v>3628</v>
      </c>
      <c r="B985" t="s">
        <v>2049</v>
      </c>
      <c r="C985" t="s">
        <v>1967</v>
      </c>
      <c r="D985" t="s">
        <v>2050</v>
      </c>
      <c r="E985" t="s">
        <v>13</v>
      </c>
      <c r="F985" t="s">
        <v>44</v>
      </c>
      <c r="G985">
        <v>60</v>
      </c>
      <c r="H985">
        <v>2</v>
      </c>
      <c r="I985" s="16">
        <f t="shared" si="179"/>
        <v>120</v>
      </c>
      <c r="J985">
        <v>1</v>
      </c>
      <c r="K985">
        <f t="shared" si="180"/>
        <v>60</v>
      </c>
      <c r="L985">
        <f t="shared" si="175"/>
        <v>1</v>
      </c>
      <c r="M985">
        <f t="shared" si="181"/>
        <v>60</v>
      </c>
      <c r="N985">
        <f t="shared" si="182"/>
        <v>15</v>
      </c>
      <c r="O985">
        <f t="shared" si="183"/>
        <v>45</v>
      </c>
      <c r="R985" s="21" t="str">
        <f t="shared" ref="R985:R986" si="184">_xlfn.TEXTJOIN("  by ",TRUE,B984,C984)</f>
        <v>Saraswadhi Nathi  by Vidya Subramaniam</v>
      </c>
    </row>
    <row r="986" spans="1:18" ht="18.3" x14ac:dyDescent="0.4">
      <c r="A986">
        <v>5721</v>
      </c>
      <c r="B986" t="s">
        <v>2051</v>
      </c>
      <c r="C986" t="s">
        <v>1967</v>
      </c>
      <c r="D986" t="s">
        <v>2052</v>
      </c>
      <c r="E986" t="s">
        <v>13</v>
      </c>
      <c r="F986" t="s">
        <v>44</v>
      </c>
      <c r="G986">
        <v>170</v>
      </c>
      <c r="H986">
        <v>2</v>
      </c>
      <c r="I986" s="16">
        <f t="shared" si="179"/>
        <v>340</v>
      </c>
      <c r="J986">
        <v>1</v>
      </c>
      <c r="K986">
        <f t="shared" si="180"/>
        <v>170</v>
      </c>
      <c r="L986">
        <f t="shared" si="175"/>
        <v>1</v>
      </c>
      <c r="M986">
        <f t="shared" si="181"/>
        <v>170</v>
      </c>
      <c r="N986">
        <f t="shared" si="182"/>
        <v>42.5</v>
      </c>
      <c r="O986">
        <f t="shared" si="183"/>
        <v>127.5</v>
      </c>
      <c r="R986" s="21" t="str">
        <f t="shared" si="184"/>
        <v>Savithriyin Kathapaathiram  by Vidya Subramaniam</v>
      </c>
    </row>
    <row r="987" spans="1:18" hidden="1" x14ac:dyDescent="0.3">
      <c r="A987">
        <v>3441</v>
      </c>
      <c r="B987" t="s">
        <v>2053</v>
      </c>
      <c r="C987" t="s">
        <v>1967</v>
      </c>
      <c r="D987" t="s">
        <v>2054</v>
      </c>
      <c r="E987" t="s">
        <v>13</v>
      </c>
      <c r="F987" t="s">
        <v>14</v>
      </c>
      <c r="G987">
        <v>280</v>
      </c>
      <c r="H987">
        <v>2</v>
      </c>
      <c r="I987" s="16">
        <f t="shared" si="179"/>
        <v>560</v>
      </c>
      <c r="J987">
        <v>2</v>
      </c>
      <c r="K987">
        <f t="shared" si="180"/>
        <v>560</v>
      </c>
      <c r="L987">
        <f t="shared" si="175"/>
        <v>0</v>
      </c>
      <c r="M987">
        <f t="shared" si="181"/>
        <v>0</v>
      </c>
      <c r="N987">
        <f t="shared" si="182"/>
        <v>0</v>
      </c>
      <c r="O987">
        <f t="shared" si="183"/>
        <v>0</v>
      </c>
    </row>
    <row r="988" spans="1:18" hidden="1" x14ac:dyDescent="0.3">
      <c r="A988">
        <v>4011</v>
      </c>
      <c r="B988" t="s">
        <v>2055</v>
      </c>
      <c r="C988" t="s">
        <v>1967</v>
      </c>
      <c r="D988" t="s">
        <v>2056</v>
      </c>
      <c r="E988" t="s">
        <v>13</v>
      </c>
      <c r="F988" t="s">
        <v>14</v>
      </c>
      <c r="G988">
        <v>80</v>
      </c>
      <c r="H988">
        <v>2</v>
      </c>
      <c r="I988" s="16">
        <f t="shared" si="179"/>
        <v>160</v>
      </c>
      <c r="J988">
        <v>2</v>
      </c>
      <c r="K988">
        <f t="shared" si="180"/>
        <v>160</v>
      </c>
      <c r="L988">
        <f t="shared" si="175"/>
        <v>0</v>
      </c>
      <c r="M988">
        <f t="shared" si="181"/>
        <v>0</v>
      </c>
      <c r="N988">
        <f t="shared" si="182"/>
        <v>0</v>
      </c>
      <c r="O988">
        <f t="shared" si="183"/>
        <v>0</v>
      </c>
    </row>
    <row r="989" spans="1:18" hidden="1" x14ac:dyDescent="0.3">
      <c r="A989">
        <v>7450</v>
      </c>
      <c r="B989" t="s">
        <v>2057</v>
      </c>
      <c r="C989" t="s">
        <v>1967</v>
      </c>
      <c r="D989" t="s">
        <v>2058</v>
      </c>
      <c r="E989" t="s">
        <v>13</v>
      </c>
      <c r="F989" t="s">
        <v>14</v>
      </c>
      <c r="G989">
        <v>60</v>
      </c>
      <c r="H989">
        <v>2</v>
      </c>
      <c r="I989" s="16">
        <f t="shared" si="179"/>
        <v>120</v>
      </c>
      <c r="J989">
        <v>2</v>
      </c>
      <c r="K989">
        <f t="shared" si="180"/>
        <v>120</v>
      </c>
      <c r="L989">
        <f t="shared" si="175"/>
        <v>0</v>
      </c>
      <c r="M989">
        <f t="shared" si="181"/>
        <v>0</v>
      </c>
      <c r="N989">
        <f t="shared" si="182"/>
        <v>0</v>
      </c>
      <c r="O989">
        <f t="shared" si="183"/>
        <v>0</v>
      </c>
    </row>
    <row r="990" spans="1:18" hidden="1" x14ac:dyDescent="0.3">
      <c r="A990">
        <v>3647</v>
      </c>
      <c r="B990" t="s">
        <v>2059</v>
      </c>
      <c r="C990" t="s">
        <v>1967</v>
      </c>
      <c r="D990" t="s">
        <v>2060</v>
      </c>
      <c r="E990" t="s">
        <v>13</v>
      </c>
      <c r="F990" t="s">
        <v>14</v>
      </c>
      <c r="G990">
        <v>110</v>
      </c>
      <c r="H990">
        <v>2</v>
      </c>
      <c r="I990" s="16">
        <f t="shared" si="179"/>
        <v>220</v>
      </c>
      <c r="J990">
        <v>2</v>
      </c>
      <c r="K990">
        <f t="shared" si="180"/>
        <v>220</v>
      </c>
      <c r="L990">
        <f t="shared" si="175"/>
        <v>0</v>
      </c>
      <c r="M990">
        <f t="shared" si="181"/>
        <v>0</v>
      </c>
      <c r="N990">
        <f t="shared" si="182"/>
        <v>0</v>
      </c>
      <c r="O990">
        <f t="shared" si="183"/>
        <v>0</v>
      </c>
    </row>
    <row r="991" spans="1:18" ht="18.3" x14ac:dyDescent="0.4">
      <c r="A991">
        <v>3919</v>
      </c>
      <c r="B991" t="s">
        <v>2061</v>
      </c>
      <c r="C991" t="s">
        <v>1967</v>
      </c>
      <c r="D991" t="s">
        <v>2062</v>
      </c>
      <c r="E991" t="s">
        <v>13</v>
      </c>
      <c r="F991" t="s">
        <v>14</v>
      </c>
      <c r="G991">
        <v>210</v>
      </c>
      <c r="H991">
        <v>2</v>
      </c>
      <c r="I991" s="16">
        <f t="shared" si="179"/>
        <v>420</v>
      </c>
      <c r="J991">
        <v>0</v>
      </c>
      <c r="K991">
        <f t="shared" si="180"/>
        <v>0</v>
      </c>
      <c r="L991">
        <f t="shared" si="175"/>
        <v>2</v>
      </c>
      <c r="M991">
        <f t="shared" si="181"/>
        <v>420</v>
      </c>
      <c r="N991">
        <f t="shared" si="182"/>
        <v>105</v>
      </c>
      <c r="O991">
        <f t="shared" si="183"/>
        <v>315</v>
      </c>
      <c r="R991" s="21" t="str">
        <f>_xlfn.TEXTJOIN("  by ",TRUE,B990,C990)</f>
        <v>Thavamirunthean! Varam Tharuvai…  by Vidya Subramaniam</v>
      </c>
    </row>
    <row r="992" spans="1:18" hidden="1" x14ac:dyDescent="0.3">
      <c r="A992">
        <v>5355</v>
      </c>
      <c r="B992" t="s">
        <v>2063</v>
      </c>
      <c r="C992" t="s">
        <v>1967</v>
      </c>
      <c r="D992" t="s">
        <v>2064</v>
      </c>
      <c r="E992" t="s">
        <v>13</v>
      </c>
      <c r="F992" t="s">
        <v>39</v>
      </c>
      <c r="G992">
        <v>100</v>
      </c>
      <c r="H992">
        <v>2</v>
      </c>
      <c r="I992" s="16">
        <f t="shared" si="179"/>
        <v>200</v>
      </c>
      <c r="J992">
        <v>2</v>
      </c>
      <c r="K992">
        <f t="shared" si="180"/>
        <v>200</v>
      </c>
      <c r="L992">
        <f t="shared" si="175"/>
        <v>0</v>
      </c>
      <c r="M992">
        <f t="shared" si="181"/>
        <v>0</v>
      </c>
      <c r="N992">
        <f t="shared" si="182"/>
        <v>0</v>
      </c>
      <c r="O992">
        <f t="shared" si="183"/>
        <v>0</v>
      </c>
    </row>
    <row r="993" spans="1:18" ht="18.3" x14ac:dyDescent="0.4">
      <c r="A993">
        <v>3202</v>
      </c>
      <c r="B993" t="s">
        <v>2065</v>
      </c>
      <c r="C993" t="s">
        <v>1967</v>
      </c>
      <c r="D993" t="s">
        <v>2066</v>
      </c>
      <c r="E993" t="s">
        <v>13</v>
      </c>
      <c r="F993" t="s">
        <v>44</v>
      </c>
      <c r="G993">
        <v>220</v>
      </c>
      <c r="H993">
        <v>2</v>
      </c>
      <c r="I993" s="16">
        <f t="shared" si="179"/>
        <v>440</v>
      </c>
      <c r="J993">
        <v>1</v>
      </c>
      <c r="K993">
        <f t="shared" si="180"/>
        <v>220</v>
      </c>
      <c r="L993">
        <f t="shared" si="175"/>
        <v>1</v>
      </c>
      <c r="M993">
        <f t="shared" si="181"/>
        <v>220</v>
      </c>
      <c r="N993">
        <f t="shared" si="182"/>
        <v>55</v>
      </c>
      <c r="O993">
        <f t="shared" si="183"/>
        <v>165</v>
      </c>
      <c r="R993" s="21" t="str">
        <f>_xlfn.TEXTJOIN("  by ",TRUE,B992,C992)</f>
        <v>Thodaamal Naan Malarvean  by Vidya Subramaniam</v>
      </c>
    </row>
    <row r="994" spans="1:18" hidden="1" x14ac:dyDescent="0.3">
      <c r="A994">
        <v>6794</v>
      </c>
      <c r="B994" t="s">
        <v>2067</v>
      </c>
      <c r="C994" t="s">
        <v>1967</v>
      </c>
      <c r="D994" t="s">
        <v>2068</v>
      </c>
      <c r="E994" t="s">
        <v>13</v>
      </c>
      <c r="F994" t="s">
        <v>14</v>
      </c>
      <c r="G994">
        <v>120</v>
      </c>
      <c r="H994">
        <v>2</v>
      </c>
      <c r="I994" s="16">
        <f t="shared" si="179"/>
        <v>240</v>
      </c>
      <c r="J994">
        <v>2</v>
      </c>
      <c r="K994">
        <f t="shared" si="180"/>
        <v>240</v>
      </c>
      <c r="L994">
        <f t="shared" si="175"/>
        <v>0</v>
      </c>
      <c r="M994">
        <f t="shared" si="181"/>
        <v>0</v>
      </c>
      <c r="N994">
        <f t="shared" si="182"/>
        <v>0</v>
      </c>
      <c r="O994">
        <f t="shared" si="183"/>
        <v>0</v>
      </c>
    </row>
    <row r="995" spans="1:18" hidden="1" x14ac:dyDescent="0.3">
      <c r="A995">
        <v>3324</v>
      </c>
      <c r="B995" t="s">
        <v>2069</v>
      </c>
      <c r="C995" t="s">
        <v>1967</v>
      </c>
      <c r="D995" t="s">
        <v>2070</v>
      </c>
      <c r="E995" t="s">
        <v>13</v>
      </c>
      <c r="F995" t="s">
        <v>44</v>
      </c>
      <c r="G995">
        <v>200</v>
      </c>
      <c r="H995">
        <v>2</v>
      </c>
      <c r="I995" s="16">
        <f t="shared" si="179"/>
        <v>400</v>
      </c>
      <c r="J995">
        <v>2</v>
      </c>
      <c r="K995">
        <f t="shared" si="180"/>
        <v>400</v>
      </c>
      <c r="L995">
        <f t="shared" si="175"/>
        <v>0</v>
      </c>
      <c r="M995">
        <f t="shared" si="181"/>
        <v>0</v>
      </c>
      <c r="N995">
        <f t="shared" si="182"/>
        <v>0</v>
      </c>
      <c r="O995">
        <f t="shared" si="183"/>
        <v>0</v>
      </c>
    </row>
    <row r="996" spans="1:18" hidden="1" x14ac:dyDescent="0.3">
      <c r="A996">
        <v>5346</v>
      </c>
      <c r="B996" t="s">
        <v>2071</v>
      </c>
      <c r="C996" t="s">
        <v>1967</v>
      </c>
      <c r="D996" t="s">
        <v>2072</v>
      </c>
      <c r="E996" t="s">
        <v>13</v>
      </c>
      <c r="F996" t="s">
        <v>39</v>
      </c>
      <c r="G996">
        <v>90</v>
      </c>
      <c r="H996">
        <v>2</v>
      </c>
      <c r="I996" s="16">
        <f t="shared" si="179"/>
        <v>180</v>
      </c>
      <c r="J996">
        <v>2</v>
      </c>
      <c r="K996">
        <f t="shared" si="180"/>
        <v>180</v>
      </c>
      <c r="L996">
        <f t="shared" ref="L996:L999" si="185">H996-J996</f>
        <v>0</v>
      </c>
      <c r="M996">
        <f t="shared" si="181"/>
        <v>0</v>
      </c>
      <c r="N996">
        <f t="shared" si="182"/>
        <v>0</v>
      </c>
      <c r="O996">
        <f t="shared" si="183"/>
        <v>0</v>
      </c>
    </row>
    <row r="997" spans="1:18" hidden="1" x14ac:dyDescent="0.3">
      <c r="A997">
        <v>5361</v>
      </c>
      <c r="B997" t="s">
        <v>2073</v>
      </c>
      <c r="C997" t="s">
        <v>1967</v>
      </c>
      <c r="D997" t="s">
        <v>2074</v>
      </c>
      <c r="E997" t="s">
        <v>13</v>
      </c>
      <c r="F997" t="s">
        <v>14</v>
      </c>
      <c r="G997">
        <v>90</v>
      </c>
      <c r="H997">
        <v>2</v>
      </c>
      <c r="I997" s="16">
        <f t="shared" si="179"/>
        <v>180</v>
      </c>
      <c r="J997">
        <v>2</v>
      </c>
      <c r="K997">
        <f t="shared" si="180"/>
        <v>180</v>
      </c>
      <c r="L997">
        <f t="shared" si="185"/>
        <v>0</v>
      </c>
      <c r="M997">
        <f t="shared" si="181"/>
        <v>0</v>
      </c>
      <c r="N997">
        <f t="shared" si="182"/>
        <v>0</v>
      </c>
      <c r="O997">
        <f t="shared" si="183"/>
        <v>0</v>
      </c>
    </row>
    <row r="998" spans="1:18" hidden="1" x14ac:dyDescent="0.3">
      <c r="A998">
        <v>7321</v>
      </c>
      <c r="B998" t="s">
        <v>2075</v>
      </c>
      <c r="C998" t="s">
        <v>1967</v>
      </c>
      <c r="D998" t="s">
        <v>2076</v>
      </c>
      <c r="E998" t="s">
        <v>13</v>
      </c>
      <c r="F998" t="s">
        <v>44</v>
      </c>
      <c r="G998">
        <v>120</v>
      </c>
      <c r="H998">
        <v>2</v>
      </c>
      <c r="I998" s="16">
        <f t="shared" si="179"/>
        <v>240</v>
      </c>
      <c r="J998">
        <v>2</v>
      </c>
      <c r="K998">
        <f t="shared" si="180"/>
        <v>240</v>
      </c>
      <c r="L998">
        <f t="shared" si="185"/>
        <v>0</v>
      </c>
      <c r="M998">
        <f t="shared" si="181"/>
        <v>0</v>
      </c>
      <c r="N998">
        <f t="shared" si="182"/>
        <v>0</v>
      </c>
      <c r="O998">
        <f t="shared" si="183"/>
        <v>0</v>
      </c>
    </row>
    <row r="999" spans="1:18" hidden="1" x14ac:dyDescent="0.3">
      <c r="A999">
        <v>5762</v>
      </c>
      <c r="B999" t="s">
        <v>2077</v>
      </c>
      <c r="C999" t="s">
        <v>1967</v>
      </c>
      <c r="D999" t="s">
        <v>2078</v>
      </c>
      <c r="E999" t="s">
        <v>13</v>
      </c>
      <c r="F999" t="s">
        <v>44</v>
      </c>
      <c r="G999">
        <v>220</v>
      </c>
      <c r="H999">
        <v>2</v>
      </c>
      <c r="I999" s="16">
        <f t="shared" si="179"/>
        <v>440</v>
      </c>
      <c r="J999">
        <v>2</v>
      </c>
      <c r="K999">
        <f t="shared" si="180"/>
        <v>440</v>
      </c>
      <c r="L999">
        <f t="shared" si="185"/>
        <v>0</v>
      </c>
      <c r="M999">
        <f t="shared" si="181"/>
        <v>0</v>
      </c>
      <c r="N999">
        <f t="shared" si="182"/>
        <v>0</v>
      </c>
      <c r="O999">
        <f t="shared" si="183"/>
        <v>0</v>
      </c>
    </row>
    <row r="1000" spans="1:18" hidden="1" x14ac:dyDescent="0.3">
      <c r="A1000">
        <v>7322</v>
      </c>
      <c r="B1000" t="s">
        <v>2079</v>
      </c>
      <c r="C1000" t="s">
        <v>1967</v>
      </c>
      <c r="D1000" t="s">
        <v>2080</v>
      </c>
      <c r="E1000" t="s">
        <v>13</v>
      </c>
      <c r="F1000" t="s">
        <v>44</v>
      </c>
      <c r="G1000">
        <v>110</v>
      </c>
      <c r="H1000">
        <v>2</v>
      </c>
      <c r="I1000" s="16">
        <f t="shared" si="179"/>
        <v>220</v>
      </c>
      <c r="J1000">
        <v>2</v>
      </c>
      <c r="K1000">
        <f t="shared" si="180"/>
        <v>220</v>
      </c>
      <c r="L1000">
        <f t="shared" ref="L1000:L1063" si="186">H1000-J1000</f>
        <v>0</v>
      </c>
      <c r="M1000">
        <f t="shared" si="181"/>
        <v>0</v>
      </c>
      <c r="N1000">
        <f t="shared" si="182"/>
        <v>0</v>
      </c>
      <c r="O1000">
        <f t="shared" si="183"/>
        <v>0</v>
      </c>
    </row>
    <row r="1001" spans="1:18" hidden="1" x14ac:dyDescent="0.3">
      <c r="A1001">
        <v>143</v>
      </c>
      <c r="B1001" t="s">
        <v>2081</v>
      </c>
      <c r="C1001" t="s">
        <v>2082</v>
      </c>
      <c r="D1001" t="s">
        <v>2083</v>
      </c>
      <c r="E1001" t="s">
        <v>13</v>
      </c>
      <c r="F1001" t="s">
        <v>14</v>
      </c>
      <c r="G1001">
        <v>130</v>
      </c>
      <c r="H1001">
        <v>2</v>
      </c>
      <c r="I1001" s="16">
        <f t="shared" si="179"/>
        <v>260</v>
      </c>
      <c r="J1001">
        <v>2</v>
      </c>
      <c r="K1001">
        <f t="shared" si="180"/>
        <v>260</v>
      </c>
      <c r="L1001">
        <f t="shared" si="186"/>
        <v>0</v>
      </c>
      <c r="M1001">
        <f t="shared" si="181"/>
        <v>0</v>
      </c>
      <c r="N1001">
        <f t="shared" si="182"/>
        <v>0</v>
      </c>
      <c r="O1001">
        <f t="shared" si="183"/>
        <v>0</v>
      </c>
    </row>
    <row r="1002" spans="1:18" hidden="1" x14ac:dyDescent="0.3">
      <c r="A1002">
        <v>2769</v>
      </c>
      <c r="B1002" t="s">
        <v>2084</v>
      </c>
      <c r="C1002" t="s">
        <v>2082</v>
      </c>
      <c r="D1002" t="s">
        <v>2085</v>
      </c>
      <c r="E1002" t="s">
        <v>13</v>
      </c>
      <c r="F1002" t="s">
        <v>14</v>
      </c>
      <c r="G1002">
        <v>120</v>
      </c>
      <c r="H1002">
        <v>2</v>
      </c>
      <c r="I1002" s="16">
        <f t="shared" si="179"/>
        <v>240</v>
      </c>
      <c r="J1002">
        <v>2</v>
      </c>
      <c r="K1002">
        <f t="shared" si="180"/>
        <v>240</v>
      </c>
      <c r="L1002">
        <f t="shared" si="186"/>
        <v>0</v>
      </c>
      <c r="M1002">
        <f t="shared" si="181"/>
        <v>0</v>
      </c>
      <c r="N1002">
        <f t="shared" si="182"/>
        <v>0</v>
      </c>
      <c r="O1002">
        <f t="shared" si="183"/>
        <v>0</v>
      </c>
    </row>
    <row r="1003" spans="1:18" hidden="1" x14ac:dyDescent="0.3">
      <c r="A1003">
        <v>2768</v>
      </c>
      <c r="B1003" t="s">
        <v>2086</v>
      </c>
      <c r="C1003" t="s">
        <v>2082</v>
      </c>
      <c r="D1003" t="s">
        <v>2087</v>
      </c>
      <c r="E1003" t="s">
        <v>13</v>
      </c>
      <c r="F1003" t="s">
        <v>14</v>
      </c>
      <c r="G1003">
        <v>110</v>
      </c>
      <c r="H1003">
        <v>2</v>
      </c>
      <c r="I1003" s="16">
        <f t="shared" si="179"/>
        <v>220</v>
      </c>
      <c r="J1003">
        <v>2</v>
      </c>
      <c r="K1003">
        <f t="shared" si="180"/>
        <v>220</v>
      </c>
      <c r="L1003">
        <f t="shared" si="186"/>
        <v>0</v>
      </c>
      <c r="M1003">
        <f t="shared" si="181"/>
        <v>0</v>
      </c>
      <c r="N1003">
        <f t="shared" si="182"/>
        <v>0</v>
      </c>
      <c r="O1003">
        <f t="shared" si="183"/>
        <v>0</v>
      </c>
    </row>
    <row r="1004" spans="1:18" hidden="1" x14ac:dyDescent="0.3">
      <c r="A1004">
        <v>2720</v>
      </c>
      <c r="B1004" t="s">
        <v>2088</v>
      </c>
      <c r="C1004" t="s">
        <v>2082</v>
      </c>
      <c r="D1004" t="s">
        <v>2089</v>
      </c>
      <c r="E1004" t="s">
        <v>13</v>
      </c>
      <c r="F1004" t="s">
        <v>14</v>
      </c>
      <c r="G1004">
        <v>120</v>
      </c>
      <c r="H1004">
        <v>2</v>
      </c>
      <c r="I1004" s="16">
        <f t="shared" si="179"/>
        <v>240</v>
      </c>
      <c r="J1004">
        <v>2</v>
      </c>
      <c r="K1004">
        <f t="shared" si="180"/>
        <v>240</v>
      </c>
      <c r="L1004">
        <f t="shared" si="186"/>
        <v>0</v>
      </c>
      <c r="M1004">
        <f t="shared" si="181"/>
        <v>0</v>
      </c>
      <c r="N1004">
        <f t="shared" si="182"/>
        <v>0</v>
      </c>
      <c r="O1004">
        <f t="shared" si="183"/>
        <v>0</v>
      </c>
    </row>
    <row r="1005" spans="1:18" ht="18.3" x14ac:dyDescent="0.4">
      <c r="A1005">
        <v>144</v>
      </c>
      <c r="B1005" t="s">
        <v>2090</v>
      </c>
      <c r="C1005" t="s">
        <v>2082</v>
      </c>
      <c r="D1005" t="s">
        <v>2091</v>
      </c>
      <c r="E1005" t="s">
        <v>13</v>
      </c>
      <c r="F1005" t="s">
        <v>14</v>
      </c>
      <c r="G1005">
        <v>210</v>
      </c>
      <c r="H1005">
        <v>2</v>
      </c>
      <c r="I1005" s="16">
        <f t="shared" si="179"/>
        <v>420</v>
      </c>
      <c r="J1005">
        <v>0</v>
      </c>
      <c r="K1005">
        <f t="shared" si="180"/>
        <v>0</v>
      </c>
      <c r="L1005">
        <f t="shared" si="186"/>
        <v>2</v>
      </c>
      <c r="M1005">
        <f t="shared" si="181"/>
        <v>420</v>
      </c>
      <c r="N1005">
        <f t="shared" si="182"/>
        <v>105</v>
      </c>
      <c r="O1005">
        <f t="shared" si="183"/>
        <v>315</v>
      </c>
      <c r="R1005" s="21" t="str">
        <f>_xlfn.TEXTJOIN("  by ",TRUE,B1004,C1004)</f>
        <v>Inikkum Inba Irave Nee vaa!  by Vimala Ramani</v>
      </c>
    </row>
    <row r="1006" spans="1:18" hidden="1" x14ac:dyDescent="0.3">
      <c r="A1006">
        <v>36</v>
      </c>
      <c r="B1006" t="s">
        <v>2092</v>
      </c>
      <c r="C1006" t="s">
        <v>2082</v>
      </c>
      <c r="D1006" t="s">
        <v>2093</v>
      </c>
      <c r="E1006" t="s">
        <v>13</v>
      </c>
      <c r="F1006" t="s">
        <v>14</v>
      </c>
      <c r="G1006">
        <v>130</v>
      </c>
      <c r="H1006">
        <v>2</v>
      </c>
      <c r="I1006" s="16">
        <f t="shared" si="179"/>
        <v>260</v>
      </c>
      <c r="J1006">
        <v>2</v>
      </c>
      <c r="K1006">
        <f t="shared" si="180"/>
        <v>260</v>
      </c>
      <c r="L1006">
        <f t="shared" si="186"/>
        <v>0</v>
      </c>
      <c r="M1006">
        <f t="shared" si="181"/>
        <v>0</v>
      </c>
      <c r="N1006">
        <f t="shared" si="182"/>
        <v>0</v>
      </c>
      <c r="O1006">
        <f t="shared" si="183"/>
        <v>0</v>
      </c>
    </row>
    <row r="1007" spans="1:18" ht="18.3" x14ac:dyDescent="0.4">
      <c r="A1007">
        <v>5791</v>
      </c>
      <c r="B1007" t="s">
        <v>2094</v>
      </c>
      <c r="C1007" t="s">
        <v>2082</v>
      </c>
      <c r="D1007" t="s">
        <v>2095</v>
      </c>
      <c r="E1007" t="s">
        <v>13</v>
      </c>
      <c r="F1007" t="s">
        <v>675</v>
      </c>
      <c r="G1007">
        <v>300</v>
      </c>
      <c r="H1007">
        <v>2</v>
      </c>
      <c r="I1007" s="16">
        <f t="shared" si="179"/>
        <v>600</v>
      </c>
      <c r="J1007">
        <v>1</v>
      </c>
      <c r="K1007">
        <f t="shared" si="180"/>
        <v>300</v>
      </c>
      <c r="L1007">
        <f t="shared" si="186"/>
        <v>1</v>
      </c>
      <c r="M1007">
        <f t="shared" si="181"/>
        <v>300</v>
      </c>
      <c r="N1007">
        <f t="shared" si="182"/>
        <v>75</v>
      </c>
      <c r="O1007">
        <f t="shared" si="183"/>
        <v>225</v>
      </c>
      <c r="R1007" s="21" t="str">
        <f>_xlfn.TEXTJOIN("  by ",TRUE,B1006,C1006)</f>
        <v>Kannalaney   by Vimala Ramani</v>
      </c>
    </row>
    <row r="1008" spans="1:18" hidden="1" x14ac:dyDescent="0.3">
      <c r="A1008">
        <v>2765</v>
      </c>
      <c r="B1008" t="s">
        <v>2096</v>
      </c>
      <c r="C1008" t="s">
        <v>2082</v>
      </c>
      <c r="D1008" t="s">
        <v>2097</v>
      </c>
      <c r="E1008" t="s">
        <v>13</v>
      </c>
      <c r="F1008" t="s">
        <v>14</v>
      </c>
      <c r="G1008">
        <v>160</v>
      </c>
      <c r="H1008">
        <v>2</v>
      </c>
      <c r="I1008" s="16">
        <f t="shared" si="179"/>
        <v>320</v>
      </c>
      <c r="J1008">
        <v>2</v>
      </c>
      <c r="K1008">
        <f t="shared" si="180"/>
        <v>320</v>
      </c>
      <c r="L1008">
        <f t="shared" si="186"/>
        <v>0</v>
      </c>
      <c r="M1008">
        <f t="shared" si="181"/>
        <v>0</v>
      </c>
      <c r="N1008">
        <f t="shared" si="182"/>
        <v>0</v>
      </c>
      <c r="O1008">
        <f t="shared" si="183"/>
        <v>0</v>
      </c>
    </row>
    <row r="1009" spans="1:18" hidden="1" x14ac:dyDescent="0.3">
      <c r="A1009">
        <v>145</v>
      </c>
      <c r="B1009" t="s">
        <v>2098</v>
      </c>
      <c r="C1009" t="s">
        <v>2082</v>
      </c>
      <c r="D1009" t="s">
        <v>2099</v>
      </c>
      <c r="E1009" t="s">
        <v>13</v>
      </c>
      <c r="F1009" t="s">
        <v>14</v>
      </c>
      <c r="G1009">
        <v>120</v>
      </c>
      <c r="H1009">
        <v>2</v>
      </c>
      <c r="I1009" s="16">
        <f t="shared" si="179"/>
        <v>240</v>
      </c>
      <c r="J1009">
        <v>2</v>
      </c>
      <c r="K1009">
        <f t="shared" si="180"/>
        <v>240</v>
      </c>
      <c r="L1009">
        <f t="shared" si="186"/>
        <v>0</v>
      </c>
      <c r="M1009">
        <f t="shared" si="181"/>
        <v>0</v>
      </c>
      <c r="N1009">
        <f t="shared" si="182"/>
        <v>0</v>
      </c>
      <c r="O1009">
        <f t="shared" si="183"/>
        <v>0</v>
      </c>
    </row>
    <row r="1010" spans="1:18" ht="18.3" x14ac:dyDescent="0.4">
      <c r="A1010">
        <v>8971</v>
      </c>
      <c r="B1010" t="s">
        <v>2100</v>
      </c>
      <c r="C1010" t="s">
        <v>2082</v>
      </c>
      <c r="D1010" t="s">
        <v>2101</v>
      </c>
      <c r="E1010" t="s">
        <v>13</v>
      </c>
      <c r="F1010" t="s">
        <v>44</v>
      </c>
      <c r="G1010">
        <v>150</v>
      </c>
      <c r="H1010">
        <v>2</v>
      </c>
      <c r="I1010" s="16">
        <f t="shared" si="179"/>
        <v>300</v>
      </c>
      <c r="J1010">
        <v>1</v>
      </c>
      <c r="K1010">
        <f t="shared" si="180"/>
        <v>150</v>
      </c>
      <c r="L1010">
        <f t="shared" si="186"/>
        <v>1</v>
      </c>
      <c r="M1010">
        <f t="shared" si="181"/>
        <v>150</v>
      </c>
      <c r="N1010">
        <f t="shared" si="182"/>
        <v>37.5</v>
      </c>
      <c r="O1010">
        <f t="shared" si="183"/>
        <v>112.5</v>
      </c>
      <c r="R1010" s="21" t="str">
        <f>_xlfn.TEXTJOIN("  by ",TRUE,B1009,C1009)</f>
        <v>Poovarasam Pookkal   by Vimala Ramani</v>
      </c>
    </row>
    <row r="1011" spans="1:18" hidden="1" x14ac:dyDescent="0.3">
      <c r="A1011">
        <v>154</v>
      </c>
      <c r="B1011" t="s">
        <v>2102</v>
      </c>
      <c r="C1011" t="s">
        <v>2082</v>
      </c>
      <c r="D1011" t="s">
        <v>2103</v>
      </c>
      <c r="E1011" t="s">
        <v>13</v>
      </c>
      <c r="F1011" t="s">
        <v>14</v>
      </c>
      <c r="G1011">
        <v>90</v>
      </c>
      <c r="H1011">
        <v>2</v>
      </c>
      <c r="I1011" s="16">
        <f t="shared" si="179"/>
        <v>180</v>
      </c>
      <c r="J1011">
        <v>2</v>
      </c>
      <c r="K1011">
        <f t="shared" si="180"/>
        <v>180</v>
      </c>
      <c r="L1011">
        <f t="shared" si="186"/>
        <v>0</v>
      </c>
      <c r="M1011">
        <f t="shared" si="181"/>
        <v>0</v>
      </c>
      <c r="N1011">
        <f t="shared" si="182"/>
        <v>0</v>
      </c>
      <c r="O1011">
        <f t="shared" si="183"/>
        <v>0</v>
      </c>
    </row>
    <row r="1012" spans="1:18" ht="18.3" x14ac:dyDescent="0.4">
      <c r="A1012">
        <v>2501</v>
      </c>
      <c r="B1012" t="s">
        <v>2104</v>
      </c>
      <c r="C1012" t="s">
        <v>2082</v>
      </c>
      <c r="D1012" t="s">
        <v>2105</v>
      </c>
      <c r="E1012" t="s">
        <v>13</v>
      </c>
      <c r="F1012" t="s">
        <v>14</v>
      </c>
      <c r="G1012">
        <v>90</v>
      </c>
      <c r="H1012">
        <v>2</v>
      </c>
      <c r="I1012" s="16">
        <f t="shared" si="179"/>
        <v>180</v>
      </c>
      <c r="J1012">
        <v>1</v>
      </c>
      <c r="K1012">
        <f t="shared" si="180"/>
        <v>90</v>
      </c>
      <c r="L1012">
        <f t="shared" si="186"/>
        <v>1</v>
      </c>
      <c r="M1012">
        <f t="shared" si="181"/>
        <v>90</v>
      </c>
      <c r="N1012">
        <f t="shared" si="182"/>
        <v>22.5</v>
      </c>
      <c r="O1012">
        <f t="shared" si="183"/>
        <v>67.5</v>
      </c>
      <c r="R1012" s="21" t="str">
        <f>_xlfn.TEXTJOIN("  by ",TRUE,B1011,C1011)</f>
        <v>Uravukku Appaal  by Vimala Ramani</v>
      </c>
    </row>
    <row r="1013" spans="1:18" hidden="1" x14ac:dyDescent="0.3">
      <c r="A1013">
        <v>9401</v>
      </c>
      <c r="B1013" t="s">
        <v>2106</v>
      </c>
      <c r="C1013" t="s">
        <v>2107</v>
      </c>
      <c r="D1013" t="s">
        <v>2108</v>
      </c>
      <c r="E1013" t="s">
        <v>13</v>
      </c>
      <c r="F1013" t="s">
        <v>1182</v>
      </c>
      <c r="G1013">
        <v>140</v>
      </c>
      <c r="H1013">
        <v>2</v>
      </c>
      <c r="I1013" s="16">
        <f t="shared" si="179"/>
        <v>280</v>
      </c>
      <c r="J1013">
        <v>2</v>
      </c>
      <c r="K1013">
        <f t="shared" si="180"/>
        <v>280</v>
      </c>
      <c r="L1013">
        <f t="shared" si="186"/>
        <v>0</v>
      </c>
      <c r="M1013">
        <f t="shared" si="181"/>
        <v>0</v>
      </c>
      <c r="N1013">
        <f t="shared" si="182"/>
        <v>0</v>
      </c>
      <c r="O1013">
        <f t="shared" si="183"/>
        <v>0</v>
      </c>
    </row>
    <row r="1014" spans="1:18" ht="18.3" x14ac:dyDescent="0.4">
      <c r="A1014">
        <v>9839</v>
      </c>
      <c r="B1014" t="s">
        <v>2109</v>
      </c>
      <c r="C1014" t="s">
        <v>2107</v>
      </c>
      <c r="D1014" t="s">
        <v>2110</v>
      </c>
      <c r="E1014" t="s">
        <v>13</v>
      </c>
      <c r="F1014" t="s">
        <v>1182</v>
      </c>
      <c r="G1014">
        <v>120</v>
      </c>
      <c r="H1014">
        <v>2</v>
      </c>
      <c r="I1014" s="16">
        <f t="shared" si="179"/>
        <v>240</v>
      </c>
      <c r="J1014">
        <v>0</v>
      </c>
      <c r="K1014">
        <f t="shared" si="180"/>
        <v>0</v>
      </c>
      <c r="L1014">
        <f t="shared" si="186"/>
        <v>2</v>
      </c>
      <c r="M1014">
        <f t="shared" si="181"/>
        <v>240</v>
      </c>
      <c r="N1014">
        <f t="shared" si="182"/>
        <v>60</v>
      </c>
      <c r="O1014">
        <f t="shared" si="183"/>
        <v>180</v>
      </c>
      <c r="R1014" s="21" t="str">
        <f>_xlfn.TEXTJOIN("  by ",TRUE,B1013,C1013)</f>
        <v>Anbu Vellam  by W.R. Vasanthan</v>
      </c>
    </row>
    <row r="1015" spans="1:18" hidden="1" x14ac:dyDescent="0.3">
      <c r="A1015">
        <v>11302</v>
      </c>
      <c r="B1015" t="s">
        <v>2111</v>
      </c>
      <c r="C1015" t="s">
        <v>2107</v>
      </c>
      <c r="D1015" t="s">
        <v>2112</v>
      </c>
      <c r="E1015" t="s">
        <v>13</v>
      </c>
      <c r="F1015" t="s">
        <v>1182</v>
      </c>
      <c r="G1015">
        <v>50</v>
      </c>
      <c r="H1015">
        <v>2</v>
      </c>
      <c r="I1015" s="16">
        <f t="shared" si="179"/>
        <v>100</v>
      </c>
      <c r="J1015">
        <v>2</v>
      </c>
      <c r="K1015">
        <f t="shared" si="180"/>
        <v>100</v>
      </c>
      <c r="L1015">
        <f t="shared" si="186"/>
        <v>0</v>
      </c>
      <c r="M1015">
        <f t="shared" si="181"/>
        <v>0</v>
      </c>
      <c r="N1015">
        <f t="shared" si="182"/>
        <v>0</v>
      </c>
      <c r="O1015">
        <f t="shared" si="183"/>
        <v>0</v>
      </c>
    </row>
    <row r="1016" spans="1:18" hidden="1" x14ac:dyDescent="0.3">
      <c r="A1016">
        <v>9400</v>
      </c>
      <c r="B1016" t="s">
        <v>2113</v>
      </c>
      <c r="C1016" t="s">
        <v>2107</v>
      </c>
      <c r="D1016" t="s">
        <v>2114</v>
      </c>
      <c r="E1016" t="s">
        <v>13</v>
      </c>
      <c r="F1016" t="s">
        <v>1182</v>
      </c>
      <c r="G1016">
        <v>110</v>
      </c>
      <c r="H1016">
        <v>2</v>
      </c>
      <c r="I1016" s="16">
        <f t="shared" si="179"/>
        <v>220</v>
      </c>
      <c r="J1016">
        <v>2</v>
      </c>
      <c r="K1016">
        <f t="shared" si="180"/>
        <v>220</v>
      </c>
      <c r="L1016">
        <f t="shared" si="186"/>
        <v>0</v>
      </c>
      <c r="M1016">
        <f t="shared" si="181"/>
        <v>0</v>
      </c>
      <c r="N1016">
        <f t="shared" si="182"/>
        <v>0</v>
      </c>
      <c r="O1016">
        <f t="shared" si="183"/>
        <v>0</v>
      </c>
    </row>
    <row r="1017" spans="1:18" hidden="1" x14ac:dyDescent="0.3">
      <c r="A1017">
        <v>10487</v>
      </c>
      <c r="B1017" t="s">
        <v>2115</v>
      </c>
      <c r="C1017" t="s">
        <v>2107</v>
      </c>
      <c r="D1017" t="s">
        <v>2116</v>
      </c>
      <c r="E1017" t="s">
        <v>13</v>
      </c>
      <c r="F1017" t="s">
        <v>1182</v>
      </c>
      <c r="G1017">
        <v>110</v>
      </c>
      <c r="H1017">
        <v>2</v>
      </c>
      <c r="I1017" s="16">
        <f t="shared" si="179"/>
        <v>220</v>
      </c>
      <c r="J1017">
        <v>2</v>
      </c>
      <c r="K1017">
        <f t="shared" si="180"/>
        <v>220</v>
      </c>
      <c r="L1017">
        <f t="shared" si="186"/>
        <v>0</v>
      </c>
      <c r="M1017">
        <f t="shared" si="181"/>
        <v>0</v>
      </c>
      <c r="N1017">
        <f t="shared" si="182"/>
        <v>0</v>
      </c>
      <c r="O1017">
        <f t="shared" si="183"/>
        <v>0</v>
      </c>
    </row>
    <row r="1018" spans="1:18" hidden="1" x14ac:dyDescent="0.3">
      <c r="A1018">
        <v>9416</v>
      </c>
      <c r="B1018" t="s">
        <v>2117</v>
      </c>
      <c r="C1018" t="s">
        <v>2107</v>
      </c>
      <c r="D1018" t="s">
        <v>2118</v>
      </c>
      <c r="E1018" t="s">
        <v>13</v>
      </c>
      <c r="F1018" t="s">
        <v>1182</v>
      </c>
      <c r="G1018">
        <v>150</v>
      </c>
      <c r="H1018">
        <v>2</v>
      </c>
      <c r="I1018" s="16">
        <f t="shared" si="179"/>
        <v>300</v>
      </c>
      <c r="J1018">
        <v>2</v>
      </c>
      <c r="K1018">
        <f t="shared" si="180"/>
        <v>300</v>
      </c>
      <c r="L1018">
        <f t="shared" si="186"/>
        <v>0</v>
      </c>
      <c r="M1018">
        <f t="shared" si="181"/>
        <v>0</v>
      </c>
      <c r="N1018">
        <f t="shared" si="182"/>
        <v>0</v>
      </c>
      <c r="O1018">
        <f t="shared" si="183"/>
        <v>0</v>
      </c>
    </row>
    <row r="1019" spans="1:18" ht="18.3" x14ac:dyDescent="0.4">
      <c r="A1019">
        <v>10491</v>
      </c>
      <c r="B1019" t="s">
        <v>2119</v>
      </c>
      <c r="C1019" t="s">
        <v>2107</v>
      </c>
      <c r="D1019" t="s">
        <v>2120</v>
      </c>
      <c r="E1019" t="s">
        <v>13</v>
      </c>
      <c r="F1019" t="s">
        <v>1182</v>
      </c>
      <c r="G1019">
        <v>160</v>
      </c>
      <c r="H1019">
        <v>2</v>
      </c>
      <c r="I1019" s="16">
        <f t="shared" si="179"/>
        <v>320</v>
      </c>
      <c r="J1019">
        <v>0</v>
      </c>
      <c r="K1019">
        <f t="shared" si="180"/>
        <v>0</v>
      </c>
      <c r="L1019">
        <f t="shared" si="186"/>
        <v>2</v>
      </c>
      <c r="M1019">
        <f t="shared" si="181"/>
        <v>320</v>
      </c>
      <c r="N1019">
        <f t="shared" si="182"/>
        <v>80</v>
      </c>
      <c r="O1019">
        <f t="shared" si="183"/>
        <v>240</v>
      </c>
      <c r="R1019" s="21" t="str">
        <f t="shared" ref="R1019:R1020" si="187">_xlfn.TEXTJOIN("  by ",TRUE,B1018,C1018)</f>
        <v>Jameen Kottai  by W.R. Vasanthan</v>
      </c>
    </row>
    <row r="1020" spans="1:18" ht="18.3" x14ac:dyDescent="0.4">
      <c r="A1020">
        <v>9417</v>
      </c>
      <c r="B1020" t="s">
        <v>2121</v>
      </c>
      <c r="C1020" t="s">
        <v>2107</v>
      </c>
      <c r="D1020" t="s">
        <v>2122</v>
      </c>
      <c r="E1020" t="s">
        <v>13</v>
      </c>
      <c r="F1020" t="s">
        <v>675</v>
      </c>
      <c r="G1020">
        <v>160</v>
      </c>
      <c r="H1020">
        <v>2</v>
      </c>
      <c r="I1020" s="16">
        <f t="shared" si="179"/>
        <v>320</v>
      </c>
      <c r="J1020">
        <v>1</v>
      </c>
      <c r="K1020">
        <f t="shared" si="180"/>
        <v>160</v>
      </c>
      <c r="L1020">
        <f t="shared" si="186"/>
        <v>1</v>
      </c>
      <c r="M1020">
        <f t="shared" si="181"/>
        <v>160</v>
      </c>
      <c r="N1020">
        <f t="shared" si="182"/>
        <v>40</v>
      </c>
      <c r="O1020">
        <f t="shared" si="183"/>
        <v>120</v>
      </c>
      <c r="R1020" s="21" t="str">
        <f t="shared" si="187"/>
        <v>Kadamai Nenjam  by W.R. Vasanthan</v>
      </c>
    </row>
    <row r="1021" spans="1:18" hidden="1" x14ac:dyDescent="0.3">
      <c r="A1021">
        <v>9849</v>
      </c>
      <c r="B1021" t="s">
        <v>2123</v>
      </c>
      <c r="C1021" t="s">
        <v>2107</v>
      </c>
      <c r="D1021" t="s">
        <v>2124</v>
      </c>
      <c r="E1021" t="s">
        <v>13</v>
      </c>
      <c r="F1021" t="s">
        <v>1182</v>
      </c>
      <c r="G1021">
        <v>140</v>
      </c>
      <c r="H1021">
        <v>2</v>
      </c>
      <c r="I1021" s="16">
        <f t="shared" si="179"/>
        <v>280</v>
      </c>
      <c r="J1021">
        <v>2</v>
      </c>
      <c r="K1021">
        <f t="shared" si="180"/>
        <v>280</v>
      </c>
      <c r="L1021">
        <f t="shared" si="186"/>
        <v>0</v>
      </c>
      <c r="M1021">
        <f t="shared" si="181"/>
        <v>0</v>
      </c>
      <c r="N1021">
        <f t="shared" si="182"/>
        <v>0</v>
      </c>
      <c r="O1021">
        <f t="shared" si="183"/>
        <v>0</v>
      </c>
    </row>
    <row r="1022" spans="1:18" hidden="1" x14ac:dyDescent="0.3">
      <c r="A1022">
        <v>10481</v>
      </c>
      <c r="B1022" t="s">
        <v>2125</v>
      </c>
      <c r="C1022" t="s">
        <v>2107</v>
      </c>
      <c r="D1022" t="s">
        <v>2126</v>
      </c>
      <c r="E1022" t="s">
        <v>13</v>
      </c>
      <c r="F1022" t="s">
        <v>1182</v>
      </c>
      <c r="G1022">
        <v>130</v>
      </c>
      <c r="H1022">
        <v>2</v>
      </c>
      <c r="I1022" s="16">
        <f t="shared" si="179"/>
        <v>260</v>
      </c>
      <c r="J1022">
        <v>2</v>
      </c>
      <c r="K1022">
        <f t="shared" si="180"/>
        <v>260</v>
      </c>
      <c r="L1022">
        <f t="shared" si="186"/>
        <v>0</v>
      </c>
      <c r="M1022">
        <f t="shared" si="181"/>
        <v>0</v>
      </c>
      <c r="N1022">
        <f t="shared" si="182"/>
        <v>0</v>
      </c>
      <c r="O1022">
        <f t="shared" si="183"/>
        <v>0</v>
      </c>
    </row>
    <row r="1023" spans="1:18" hidden="1" x14ac:dyDescent="0.3">
      <c r="A1023">
        <v>9415</v>
      </c>
      <c r="B1023" t="s">
        <v>2127</v>
      </c>
      <c r="C1023" t="s">
        <v>2107</v>
      </c>
      <c r="D1023" t="s">
        <v>2128</v>
      </c>
      <c r="E1023" t="s">
        <v>13</v>
      </c>
      <c r="F1023" t="s">
        <v>1182</v>
      </c>
      <c r="G1023">
        <v>150</v>
      </c>
      <c r="H1023">
        <v>2</v>
      </c>
      <c r="I1023" s="16">
        <f t="shared" si="179"/>
        <v>300</v>
      </c>
      <c r="J1023">
        <v>2</v>
      </c>
      <c r="K1023">
        <f t="shared" si="180"/>
        <v>300</v>
      </c>
      <c r="L1023">
        <f t="shared" si="186"/>
        <v>0</v>
      </c>
      <c r="M1023">
        <f t="shared" si="181"/>
        <v>0</v>
      </c>
      <c r="N1023">
        <f t="shared" si="182"/>
        <v>0</v>
      </c>
      <c r="O1023">
        <f t="shared" si="183"/>
        <v>0</v>
      </c>
    </row>
    <row r="1024" spans="1:18" ht="18.3" x14ac:dyDescent="0.4">
      <c r="A1024">
        <v>9846</v>
      </c>
      <c r="B1024" t="s">
        <v>2129</v>
      </c>
      <c r="C1024" t="s">
        <v>2107</v>
      </c>
      <c r="D1024" t="s">
        <v>2130</v>
      </c>
      <c r="E1024" t="s">
        <v>13</v>
      </c>
      <c r="F1024" t="s">
        <v>1182</v>
      </c>
      <c r="G1024">
        <v>90</v>
      </c>
      <c r="H1024">
        <v>2</v>
      </c>
      <c r="I1024" s="16">
        <f t="shared" si="179"/>
        <v>180</v>
      </c>
      <c r="J1024">
        <v>1</v>
      </c>
      <c r="K1024">
        <f t="shared" si="180"/>
        <v>90</v>
      </c>
      <c r="L1024">
        <f t="shared" si="186"/>
        <v>1</v>
      </c>
      <c r="M1024">
        <f t="shared" si="181"/>
        <v>90</v>
      </c>
      <c r="N1024">
        <f t="shared" si="182"/>
        <v>22.5</v>
      </c>
      <c r="O1024">
        <f t="shared" si="183"/>
        <v>67.5</v>
      </c>
      <c r="R1024" s="21" t="str">
        <f t="shared" ref="R1024:R1026" si="188">_xlfn.TEXTJOIN("  by ",TRUE,B1023,C1023)</f>
        <v>Mangatha Thangam  by W.R. Vasanthan</v>
      </c>
    </row>
    <row r="1025" spans="1:18" ht="18.3" x14ac:dyDescent="0.4">
      <c r="A1025">
        <v>9847</v>
      </c>
      <c r="B1025" t="s">
        <v>2131</v>
      </c>
      <c r="C1025" t="s">
        <v>2107</v>
      </c>
      <c r="D1025" t="s">
        <v>2132</v>
      </c>
      <c r="E1025" t="s">
        <v>13</v>
      </c>
      <c r="F1025" t="s">
        <v>1182</v>
      </c>
      <c r="G1025">
        <v>100</v>
      </c>
      <c r="H1025">
        <v>2</v>
      </c>
      <c r="I1025" s="16">
        <f t="shared" si="179"/>
        <v>200</v>
      </c>
      <c r="J1025">
        <v>0</v>
      </c>
      <c r="K1025">
        <f t="shared" si="180"/>
        <v>0</v>
      </c>
      <c r="L1025">
        <f t="shared" si="186"/>
        <v>2</v>
      </c>
      <c r="M1025">
        <f t="shared" si="181"/>
        <v>200</v>
      </c>
      <c r="N1025">
        <f t="shared" si="182"/>
        <v>50</v>
      </c>
      <c r="O1025">
        <f t="shared" si="183"/>
        <v>150</v>
      </c>
      <c r="R1025" s="21" t="str">
        <f t="shared" si="188"/>
        <v>Manjal Roja  by W.R. Vasanthan</v>
      </c>
    </row>
    <row r="1026" spans="1:18" ht="18.3" x14ac:dyDescent="0.4">
      <c r="A1026">
        <v>9848</v>
      </c>
      <c r="B1026" t="s">
        <v>2133</v>
      </c>
      <c r="C1026" t="s">
        <v>2107</v>
      </c>
      <c r="D1026" t="s">
        <v>2134</v>
      </c>
      <c r="E1026" t="s">
        <v>13</v>
      </c>
      <c r="F1026" t="s">
        <v>466</v>
      </c>
      <c r="G1026">
        <v>160</v>
      </c>
      <c r="H1026">
        <v>2</v>
      </c>
      <c r="I1026" s="16">
        <f t="shared" si="179"/>
        <v>320</v>
      </c>
      <c r="J1026">
        <v>0</v>
      </c>
      <c r="K1026">
        <f t="shared" si="180"/>
        <v>0</v>
      </c>
      <c r="L1026">
        <f t="shared" si="186"/>
        <v>2</v>
      </c>
      <c r="M1026">
        <f t="shared" si="181"/>
        <v>320</v>
      </c>
      <c r="N1026">
        <f t="shared" si="182"/>
        <v>80</v>
      </c>
      <c r="O1026">
        <f t="shared" si="183"/>
        <v>240</v>
      </c>
      <c r="R1026" s="21" t="str">
        <f t="shared" si="188"/>
        <v>Oli Sudar  by W.R. Vasanthan</v>
      </c>
    </row>
    <row r="1027" spans="1:18" hidden="1" x14ac:dyDescent="0.3">
      <c r="A1027">
        <v>10485</v>
      </c>
      <c r="B1027" t="s">
        <v>2135</v>
      </c>
      <c r="C1027" t="s">
        <v>2107</v>
      </c>
      <c r="D1027" t="s">
        <v>2136</v>
      </c>
      <c r="E1027" t="s">
        <v>13</v>
      </c>
      <c r="F1027" t="s">
        <v>1182</v>
      </c>
      <c r="G1027">
        <v>130</v>
      </c>
      <c r="H1027">
        <v>2</v>
      </c>
      <c r="I1027" s="16">
        <f t="shared" ref="I1027:I1090" si="189">H1027*G1027</f>
        <v>260</v>
      </c>
      <c r="J1027">
        <v>2</v>
      </c>
      <c r="K1027">
        <f t="shared" ref="K1027:K1090" si="190">J1027*G1027</f>
        <v>260</v>
      </c>
      <c r="L1027">
        <f t="shared" si="186"/>
        <v>0</v>
      </c>
      <c r="M1027">
        <f t="shared" ref="M1027:M1090" si="191">L1027*G1027</f>
        <v>0</v>
      </c>
      <c r="N1027">
        <f t="shared" ref="N1027:N1090" si="192">M1027*0.25</f>
        <v>0</v>
      </c>
      <c r="O1027">
        <f t="shared" ref="O1027:O1090" si="193">M1027-N1027</f>
        <v>0</v>
      </c>
    </row>
    <row r="1028" spans="1:18" ht="18.3" x14ac:dyDescent="0.4">
      <c r="A1028">
        <v>10482</v>
      </c>
      <c r="B1028" t="s">
        <v>2137</v>
      </c>
      <c r="C1028" t="s">
        <v>2107</v>
      </c>
      <c r="D1028" t="s">
        <v>2138</v>
      </c>
      <c r="E1028" t="s">
        <v>13</v>
      </c>
      <c r="F1028" t="s">
        <v>1182</v>
      </c>
      <c r="G1028">
        <v>140</v>
      </c>
      <c r="H1028">
        <v>2</v>
      </c>
      <c r="I1028" s="16">
        <f t="shared" si="189"/>
        <v>280</v>
      </c>
      <c r="J1028">
        <v>1</v>
      </c>
      <c r="K1028">
        <f t="shared" si="190"/>
        <v>140</v>
      </c>
      <c r="L1028">
        <f t="shared" si="186"/>
        <v>1</v>
      </c>
      <c r="M1028">
        <f t="shared" si="191"/>
        <v>140</v>
      </c>
      <c r="N1028">
        <f t="shared" si="192"/>
        <v>35</v>
      </c>
      <c r="O1028">
        <f t="shared" si="193"/>
        <v>105</v>
      </c>
      <c r="R1028" s="21" t="str">
        <f t="shared" ref="R1028:R1030" si="194">_xlfn.TEXTJOIN("  by ",TRUE,B1027,C1027)</f>
        <v>Thalaratha Ullam  by W.R. Vasanthan</v>
      </c>
    </row>
    <row r="1029" spans="1:18" ht="18.3" x14ac:dyDescent="0.4">
      <c r="A1029">
        <v>10486</v>
      </c>
      <c r="B1029" t="s">
        <v>2139</v>
      </c>
      <c r="C1029" t="s">
        <v>2107</v>
      </c>
      <c r="D1029" t="s">
        <v>2140</v>
      </c>
      <c r="E1029" t="s">
        <v>13</v>
      </c>
      <c r="F1029" t="s">
        <v>1182</v>
      </c>
      <c r="G1029">
        <v>110</v>
      </c>
      <c r="H1029">
        <v>2</v>
      </c>
      <c r="I1029" s="16">
        <f t="shared" si="189"/>
        <v>220</v>
      </c>
      <c r="J1029">
        <v>0</v>
      </c>
      <c r="K1029">
        <f t="shared" si="190"/>
        <v>0</v>
      </c>
      <c r="L1029">
        <f t="shared" si="186"/>
        <v>2</v>
      </c>
      <c r="M1029">
        <f t="shared" si="191"/>
        <v>220</v>
      </c>
      <c r="N1029">
        <f t="shared" si="192"/>
        <v>55</v>
      </c>
      <c r="O1029">
        <f t="shared" si="193"/>
        <v>165</v>
      </c>
      <c r="R1029" s="21" t="str">
        <f t="shared" si="194"/>
        <v>Udhayan Engey?  by W.R. Vasanthan</v>
      </c>
    </row>
    <row r="1030" spans="1:18" ht="18.3" x14ac:dyDescent="0.4">
      <c r="A1030">
        <v>10483</v>
      </c>
      <c r="B1030" t="s">
        <v>2141</v>
      </c>
      <c r="C1030" t="s">
        <v>2107</v>
      </c>
      <c r="D1030" t="s">
        <v>2142</v>
      </c>
      <c r="E1030" t="s">
        <v>13</v>
      </c>
      <c r="F1030" t="s">
        <v>1182</v>
      </c>
      <c r="G1030">
        <v>110</v>
      </c>
      <c r="H1030">
        <v>2</v>
      </c>
      <c r="I1030" s="16">
        <f t="shared" si="189"/>
        <v>220</v>
      </c>
      <c r="J1030">
        <v>1</v>
      </c>
      <c r="K1030">
        <f t="shared" si="190"/>
        <v>110</v>
      </c>
      <c r="L1030">
        <f t="shared" si="186"/>
        <v>1</v>
      </c>
      <c r="M1030">
        <f t="shared" si="191"/>
        <v>110</v>
      </c>
      <c r="N1030">
        <f t="shared" si="192"/>
        <v>27.5</v>
      </c>
      <c r="O1030">
        <f t="shared" si="193"/>
        <v>82.5</v>
      </c>
      <c r="R1030" s="21" t="str">
        <f t="shared" si="194"/>
        <v>Uyarntha Manam  by W.R. Vasanthan</v>
      </c>
    </row>
    <row r="1031" spans="1:18" hidden="1" x14ac:dyDescent="0.3">
      <c r="A1031">
        <v>9745</v>
      </c>
      <c r="B1031" t="s">
        <v>2143</v>
      </c>
      <c r="C1031" t="s">
        <v>2144</v>
      </c>
      <c r="D1031" t="s">
        <v>2145</v>
      </c>
      <c r="E1031" t="s">
        <v>447</v>
      </c>
      <c r="F1031" t="s">
        <v>705</v>
      </c>
      <c r="G1031">
        <v>210</v>
      </c>
      <c r="H1031">
        <v>2</v>
      </c>
      <c r="I1031" s="16">
        <f t="shared" si="189"/>
        <v>420</v>
      </c>
      <c r="J1031">
        <v>2</v>
      </c>
      <c r="K1031">
        <f t="shared" si="190"/>
        <v>420</v>
      </c>
      <c r="L1031">
        <f t="shared" si="186"/>
        <v>0</v>
      </c>
      <c r="M1031">
        <f t="shared" si="191"/>
        <v>0</v>
      </c>
      <c r="N1031">
        <f t="shared" si="192"/>
        <v>0</v>
      </c>
      <c r="O1031">
        <f t="shared" si="193"/>
        <v>0</v>
      </c>
    </row>
    <row r="1032" spans="1:18" hidden="1" x14ac:dyDescent="0.3">
      <c r="A1032">
        <v>9571</v>
      </c>
      <c r="B1032" t="s">
        <v>2146</v>
      </c>
      <c r="C1032" t="s">
        <v>2144</v>
      </c>
      <c r="D1032" t="s">
        <v>2147</v>
      </c>
      <c r="E1032" t="s">
        <v>447</v>
      </c>
      <c r="F1032" t="s">
        <v>705</v>
      </c>
      <c r="G1032">
        <v>150</v>
      </c>
      <c r="H1032">
        <v>1</v>
      </c>
      <c r="I1032" s="16">
        <f t="shared" si="189"/>
        <v>150</v>
      </c>
      <c r="J1032">
        <v>1</v>
      </c>
      <c r="K1032">
        <f t="shared" si="190"/>
        <v>150</v>
      </c>
      <c r="L1032">
        <f t="shared" si="186"/>
        <v>0</v>
      </c>
      <c r="M1032">
        <f t="shared" si="191"/>
        <v>0</v>
      </c>
      <c r="N1032">
        <f t="shared" si="192"/>
        <v>0</v>
      </c>
      <c r="O1032">
        <f t="shared" si="193"/>
        <v>0</v>
      </c>
    </row>
    <row r="1033" spans="1:18" hidden="1" x14ac:dyDescent="0.3">
      <c r="A1033" s="7" t="s">
        <v>2148</v>
      </c>
      <c r="B1033" s="7" t="s">
        <v>2149</v>
      </c>
      <c r="C1033" t="s">
        <v>1582</v>
      </c>
      <c r="G1033">
        <v>300</v>
      </c>
      <c r="H1033">
        <v>2</v>
      </c>
      <c r="I1033" s="16">
        <f t="shared" si="189"/>
        <v>600</v>
      </c>
      <c r="J1033">
        <v>2</v>
      </c>
      <c r="K1033">
        <f t="shared" si="190"/>
        <v>600</v>
      </c>
      <c r="L1033">
        <f t="shared" si="186"/>
        <v>0</v>
      </c>
      <c r="M1033">
        <f t="shared" si="191"/>
        <v>0</v>
      </c>
      <c r="N1033">
        <f t="shared" si="192"/>
        <v>0</v>
      </c>
      <c r="O1033">
        <f t="shared" si="193"/>
        <v>0</v>
      </c>
    </row>
    <row r="1034" spans="1:18" ht="18.3" x14ac:dyDescent="0.4">
      <c r="A1034" s="7" t="s">
        <v>2150</v>
      </c>
      <c r="B1034" s="7" t="s">
        <v>2151</v>
      </c>
      <c r="C1034" t="s">
        <v>1582</v>
      </c>
      <c r="G1034">
        <v>200</v>
      </c>
      <c r="H1034">
        <v>2</v>
      </c>
      <c r="I1034" s="16">
        <f t="shared" si="189"/>
        <v>400</v>
      </c>
      <c r="J1034">
        <v>0</v>
      </c>
      <c r="K1034">
        <f t="shared" si="190"/>
        <v>0</v>
      </c>
      <c r="L1034">
        <f t="shared" si="186"/>
        <v>2</v>
      </c>
      <c r="M1034">
        <f t="shared" si="191"/>
        <v>400</v>
      </c>
      <c r="N1034">
        <f t="shared" si="192"/>
        <v>100</v>
      </c>
      <c r="O1034">
        <f t="shared" si="193"/>
        <v>300</v>
      </c>
      <c r="R1034" s="21" t="str">
        <f t="shared" ref="R1034:R1035" si="195">_xlfn.TEXTJOIN("  by ",TRUE,B1033,C1033)</f>
        <v>FIVE STAR DHROGAM  by Rajeshkumar</v>
      </c>
    </row>
    <row r="1035" spans="1:18" ht="18.3" x14ac:dyDescent="0.4">
      <c r="A1035" s="7" t="s">
        <v>2152</v>
      </c>
      <c r="B1035" s="7" t="s">
        <v>2153</v>
      </c>
      <c r="C1035" t="s">
        <v>1582</v>
      </c>
      <c r="G1035">
        <v>220</v>
      </c>
      <c r="H1035">
        <v>2</v>
      </c>
      <c r="I1035" s="16">
        <f t="shared" si="189"/>
        <v>440</v>
      </c>
      <c r="J1035">
        <v>1</v>
      </c>
      <c r="K1035">
        <f t="shared" si="190"/>
        <v>220</v>
      </c>
      <c r="L1035">
        <f t="shared" si="186"/>
        <v>1</v>
      </c>
      <c r="M1035">
        <f t="shared" si="191"/>
        <v>220</v>
      </c>
      <c r="N1035">
        <f t="shared" si="192"/>
        <v>55</v>
      </c>
      <c r="O1035">
        <f t="shared" si="193"/>
        <v>165</v>
      </c>
      <c r="R1035" s="21" t="str">
        <f t="shared" si="195"/>
        <v>VELVET KUTTRANGAL  by Rajeshkumar</v>
      </c>
    </row>
    <row r="1036" spans="1:18" hidden="1" x14ac:dyDescent="0.3">
      <c r="A1036" s="7" t="s">
        <v>2154</v>
      </c>
      <c r="B1036" s="7" t="s">
        <v>2155</v>
      </c>
      <c r="C1036" t="s">
        <v>1582</v>
      </c>
      <c r="G1036">
        <v>220</v>
      </c>
      <c r="H1036">
        <v>2</v>
      </c>
      <c r="I1036" s="16">
        <f t="shared" si="189"/>
        <v>440</v>
      </c>
      <c r="J1036">
        <v>2</v>
      </c>
      <c r="K1036">
        <f t="shared" si="190"/>
        <v>440</v>
      </c>
      <c r="L1036">
        <f t="shared" si="186"/>
        <v>0</v>
      </c>
      <c r="M1036">
        <f t="shared" si="191"/>
        <v>0</v>
      </c>
      <c r="N1036">
        <f t="shared" si="192"/>
        <v>0</v>
      </c>
      <c r="O1036">
        <f t="shared" si="193"/>
        <v>0</v>
      </c>
    </row>
    <row r="1037" spans="1:18" ht="25.5" x14ac:dyDescent="0.4">
      <c r="A1037" s="7" t="s">
        <v>2156</v>
      </c>
      <c r="B1037" s="7" t="s">
        <v>2157</v>
      </c>
      <c r="C1037" t="s">
        <v>1582</v>
      </c>
      <c r="G1037">
        <v>350</v>
      </c>
      <c r="H1037">
        <v>2</v>
      </c>
      <c r="I1037" s="16">
        <f t="shared" si="189"/>
        <v>700</v>
      </c>
      <c r="J1037">
        <v>0</v>
      </c>
      <c r="K1037">
        <f t="shared" si="190"/>
        <v>0</v>
      </c>
      <c r="L1037">
        <f t="shared" si="186"/>
        <v>2</v>
      </c>
      <c r="M1037">
        <f t="shared" si="191"/>
        <v>700</v>
      </c>
      <c r="N1037">
        <f t="shared" si="192"/>
        <v>175</v>
      </c>
      <c r="O1037">
        <f t="shared" si="193"/>
        <v>525</v>
      </c>
      <c r="R1037" s="21" t="str">
        <f>_xlfn.TEXTJOIN("  by ",TRUE,B1036,C1036)</f>
        <v>ORU THULI KADAL  by Rajeshkumar</v>
      </c>
    </row>
    <row r="1038" spans="1:18" ht="25.5" hidden="1" x14ac:dyDescent="0.3">
      <c r="A1038" s="7" t="s">
        <v>2158</v>
      </c>
      <c r="B1038" s="7" t="s">
        <v>2159</v>
      </c>
      <c r="C1038" t="s">
        <v>1582</v>
      </c>
      <c r="G1038">
        <v>250</v>
      </c>
      <c r="H1038">
        <v>2</v>
      </c>
      <c r="I1038" s="16">
        <f t="shared" si="189"/>
        <v>500</v>
      </c>
      <c r="J1038">
        <v>2</v>
      </c>
      <c r="K1038">
        <f t="shared" si="190"/>
        <v>500</v>
      </c>
      <c r="L1038">
        <f t="shared" si="186"/>
        <v>0</v>
      </c>
      <c r="M1038">
        <f t="shared" si="191"/>
        <v>0</v>
      </c>
      <c r="N1038">
        <f t="shared" si="192"/>
        <v>0</v>
      </c>
      <c r="O1038">
        <f t="shared" si="193"/>
        <v>0</v>
      </c>
    </row>
    <row r="1039" spans="1:18" hidden="1" x14ac:dyDescent="0.3">
      <c r="A1039" s="7" t="s">
        <v>2160</v>
      </c>
      <c r="B1039" s="7" t="s">
        <v>2161</v>
      </c>
      <c r="C1039" t="s">
        <v>1582</v>
      </c>
      <c r="G1039">
        <v>230</v>
      </c>
      <c r="H1039">
        <v>2</v>
      </c>
      <c r="I1039" s="16">
        <f t="shared" si="189"/>
        <v>460</v>
      </c>
      <c r="J1039">
        <v>2</v>
      </c>
      <c r="K1039">
        <f t="shared" si="190"/>
        <v>460</v>
      </c>
      <c r="L1039">
        <f t="shared" si="186"/>
        <v>0</v>
      </c>
      <c r="M1039">
        <f t="shared" si="191"/>
        <v>0</v>
      </c>
      <c r="N1039">
        <f t="shared" si="192"/>
        <v>0</v>
      </c>
      <c r="O1039">
        <f t="shared" si="193"/>
        <v>0</v>
      </c>
    </row>
    <row r="1040" spans="1:18" ht="18.3" x14ac:dyDescent="0.4">
      <c r="A1040" s="7" t="s">
        <v>2162</v>
      </c>
      <c r="B1040" s="7" t="s">
        <v>2163</v>
      </c>
      <c r="C1040" t="s">
        <v>1582</v>
      </c>
      <c r="G1040">
        <v>280</v>
      </c>
      <c r="H1040">
        <v>2</v>
      </c>
      <c r="I1040" s="16">
        <f t="shared" si="189"/>
        <v>560</v>
      </c>
      <c r="J1040">
        <v>0</v>
      </c>
      <c r="K1040">
        <f t="shared" si="190"/>
        <v>0</v>
      </c>
      <c r="L1040">
        <f t="shared" si="186"/>
        <v>2</v>
      </c>
      <c r="M1040">
        <f t="shared" si="191"/>
        <v>560</v>
      </c>
      <c r="N1040">
        <f t="shared" si="192"/>
        <v>140</v>
      </c>
      <c r="O1040">
        <f t="shared" si="193"/>
        <v>420</v>
      </c>
      <c r="R1040" s="21" t="str">
        <f t="shared" ref="R1040:R1041" si="196">_xlfn.TEXTJOIN("  by ",TRUE,B1039,C1039)</f>
        <v>ANJATHE ANJU  by Rajeshkumar</v>
      </c>
    </row>
    <row r="1041" spans="1:18" ht="18.3" x14ac:dyDescent="0.4">
      <c r="A1041" s="7" t="s">
        <v>2164</v>
      </c>
      <c r="B1041" s="7" t="s">
        <v>2165</v>
      </c>
      <c r="C1041" t="s">
        <v>1582</v>
      </c>
      <c r="G1041">
        <v>260</v>
      </c>
      <c r="H1041">
        <v>2</v>
      </c>
      <c r="I1041" s="16">
        <f t="shared" si="189"/>
        <v>520</v>
      </c>
      <c r="J1041">
        <v>0</v>
      </c>
      <c r="K1041">
        <f t="shared" si="190"/>
        <v>0</v>
      </c>
      <c r="L1041">
        <f t="shared" si="186"/>
        <v>2</v>
      </c>
      <c r="M1041">
        <f t="shared" si="191"/>
        <v>520</v>
      </c>
      <c r="N1041">
        <f t="shared" si="192"/>
        <v>130</v>
      </c>
      <c r="O1041">
        <f t="shared" si="193"/>
        <v>390</v>
      </c>
      <c r="R1041" s="21" t="str">
        <f t="shared" si="196"/>
        <v>KADAISI THEEKUCHI  by Rajeshkumar</v>
      </c>
    </row>
    <row r="1042" spans="1:18" hidden="1" x14ac:dyDescent="0.3">
      <c r="A1042" s="7" t="s">
        <v>2166</v>
      </c>
      <c r="B1042" s="7" t="s">
        <v>2167</v>
      </c>
      <c r="C1042" t="s">
        <v>1582</v>
      </c>
      <c r="G1042">
        <v>225</v>
      </c>
      <c r="H1042">
        <v>2</v>
      </c>
      <c r="I1042" s="16">
        <f t="shared" si="189"/>
        <v>450</v>
      </c>
      <c r="J1042">
        <v>2</v>
      </c>
      <c r="K1042">
        <f t="shared" si="190"/>
        <v>450</v>
      </c>
      <c r="L1042">
        <f t="shared" si="186"/>
        <v>0</v>
      </c>
      <c r="M1042">
        <f t="shared" si="191"/>
        <v>0</v>
      </c>
      <c r="N1042">
        <f t="shared" si="192"/>
        <v>0</v>
      </c>
      <c r="O1042">
        <f t="shared" si="193"/>
        <v>0</v>
      </c>
    </row>
    <row r="1043" spans="1:18" ht="18.3" x14ac:dyDescent="0.4">
      <c r="A1043" s="7" t="s">
        <v>2168</v>
      </c>
      <c r="B1043" s="7" t="s">
        <v>2169</v>
      </c>
      <c r="C1043" t="s">
        <v>1582</v>
      </c>
      <c r="G1043">
        <v>230</v>
      </c>
      <c r="H1043">
        <v>2</v>
      </c>
      <c r="I1043" s="16">
        <f t="shared" si="189"/>
        <v>460</v>
      </c>
      <c r="J1043">
        <v>1</v>
      </c>
      <c r="K1043">
        <f t="shared" si="190"/>
        <v>230</v>
      </c>
      <c r="L1043">
        <f t="shared" si="186"/>
        <v>1</v>
      </c>
      <c r="M1043">
        <f t="shared" si="191"/>
        <v>230</v>
      </c>
      <c r="N1043">
        <f t="shared" si="192"/>
        <v>57.5</v>
      </c>
      <c r="O1043">
        <f t="shared" si="193"/>
        <v>172.5</v>
      </c>
      <c r="R1043" s="21" t="str">
        <f t="shared" ref="R1043:R1044" si="197">_xlfn.TEXTJOIN("  by ",TRUE,B1042,C1042)</f>
        <v>50KG TAJMAHAL - ABAYAA NOYAALI ( 2 NOVEL COMBO )  by Rajeshkumar</v>
      </c>
    </row>
    <row r="1044" spans="1:18" ht="25.5" x14ac:dyDescent="0.4">
      <c r="A1044" s="7" t="s">
        <v>2170</v>
      </c>
      <c r="B1044" s="7" t="s">
        <v>2171</v>
      </c>
      <c r="C1044" t="s">
        <v>1582</v>
      </c>
      <c r="G1044">
        <v>370</v>
      </c>
      <c r="H1044">
        <v>2</v>
      </c>
      <c r="I1044" s="16">
        <f t="shared" si="189"/>
        <v>740</v>
      </c>
      <c r="J1044">
        <v>0</v>
      </c>
      <c r="K1044">
        <f t="shared" si="190"/>
        <v>0</v>
      </c>
      <c r="L1044">
        <f t="shared" si="186"/>
        <v>2</v>
      </c>
      <c r="M1044">
        <f t="shared" si="191"/>
        <v>740</v>
      </c>
      <c r="N1044">
        <f t="shared" si="192"/>
        <v>185</v>
      </c>
      <c r="O1044">
        <f t="shared" si="193"/>
        <v>555</v>
      </c>
      <c r="R1044" s="21" t="str">
        <f t="shared" si="197"/>
        <v>CALIFORNIA KADHALI -  HONGKONG VIZHIGAL ( 2 NOVEL COMBO )  by Rajeshkumar</v>
      </c>
    </row>
    <row r="1045" spans="1:18" ht="25.5" hidden="1" x14ac:dyDescent="0.3">
      <c r="A1045" s="7" t="s">
        <v>2172</v>
      </c>
      <c r="B1045" s="7" t="s">
        <v>2173</v>
      </c>
      <c r="C1045" t="s">
        <v>1582</v>
      </c>
      <c r="G1045">
        <v>280</v>
      </c>
      <c r="H1045">
        <v>2</v>
      </c>
      <c r="I1045" s="16">
        <f t="shared" si="189"/>
        <v>560</v>
      </c>
      <c r="J1045">
        <v>2</v>
      </c>
      <c r="K1045">
        <f t="shared" si="190"/>
        <v>560</v>
      </c>
      <c r="L1045">
        <f t="shared" si="186"/>
        <v>0</v>
      </c>
      <c r="M1045">
        <f t="shared" si="191"/>
        <v>0</v>
      </c>
      <c r="N1045">
        <f t="shared" si="192"/>
        <v>0</v>
      </c>
      <c r="O1045">
        <f t="shared" si="193"/>
        <v>0</v>
      </c>
    </row>
    <row r="1046" spans="1:18" ht="25.5" hidden="1" x14ac:dyDescent="0.3">
      <c r="A1046" s="7" t="s">
        <v>2174</v>
      </c>
      <c r="B1046" s="7" t="s">
        <v>2175</v>
      </c>
      <c r="C1046" t="s">
        <v>1582</v>
      </c>
      <c r="G1046">
        <v>375</v>
      </c>
      <c r="H1046">
        <v>2</v>
      </c>
      <c r="I1046" s="16">
        <f t="shared" si="189"/>
        <v>750</v>
      </c>
      <c r="J1046">
        <v>2</v>
      </c>
      <c r="K1046">
        <f t="shared" si="190"/>
        <v>750</v>
      </c>
      <c r="L1046">
        <f t="shared" si="186"/>
        <v>0</v>
      </c>
      <c r="M1046">
        <f t="shared" si="191"/>
        <v>0</v>
      </c>
      <c r="N1046">
        <f t="shared" si="192"/>
        <v>0</v>
      </c>
      <c r="O1046">
        <f t="shared" si="193"/>
        <v>0</v>
      </c>
    </row>
    <row r="1047" spans="1:18" hidden="1" x14ac:dyDescent="0.3">
      <c r="A1047" s="7" t="s">
        <v>2176</v>
      </c>
      <c r="B1047" s="7" t="s">
        <v>2177</v>
      </c>
      <c r="C1047" t="s">
        <v>1582</v>
      </c>
      <c r="G1047">
        <v>210</v>
      </c>
      <c r="H1047">
        <v>2</v>
      </c>
      <c r="I1047" s="16">
        <f t="shared" si="189"/>
        <v>420</v>
      </c>
      <c r="J1047">
        <v>2</v>
      </c>
      <c r="K1047">
        <f t="shared" si="190"/>
        <v>420</v>
      </c>
      <c r="L1047">
        <f t="shared" si="186"/>
        <v>0</v>
      </c>
      <c r="M1047">
        <f t="shared" si="191"/>
        <v>0</v>
      </c>
      <c r="N1047">
        <f t="shared" si="192"/>
        <v>0</v>
      </c>
      <c r="O1047">
        <f t="shared" si="193"/>
        <v>0</v>
      </c>
    </row>
    <row r="1048" spans="1:18" ht="18.3" x14ac:dyDescent="0.4">
      <c r="A1048" s="7" t="s">
        <v>2178</v>
      </c>
      <c r="B1048" s="7" t="s">
        <v>2179</v>
      </c>
      <c r="C1048" t="s">
        <v>1582</v>
      </c>
      <c r="G1048">
        <v>450</v>
      </c>
      <c r="H1048">
        <v>2</v>
      </c>
      <c r="I1048" s="16">
        <f t="shared" si="189"/>
        <v>900</v>
      </c>
      <c r="J1048">
        <v>0</v>
      </c>
      <c r="K1048">
        <f t="shared" si="190"/>
        <v>0</v>
      </c>
      <c r="L1048">
        <f t="shared" si="186"/>
        <v>2</v>
      </c>
      <c r="M1048">
        <f t="shared" si="191"/>
        <v>900</v>
      </c>
      <c r="N1048">
        <f t="shared" si="192"/>
        <v>225</v>
      </c>
      <c r="O1048">
        <f t="shared" si="193"/>
        <v>675</v>
      </c>
      <c r="R1048" s="21" t="str">
        <f t="shared" ref="R1048:R1049" si="198">_xlfn.TEXTJOIN("  by ",TRUE,B1047,C1047)</f>
        <v>IRAVAL SORGAM  by Rajeshkumar</v>
      </c>
    </row>
    <row r="1049" spans="1:18" ht="18.3" x14ac:dyDescent="0.4">
      <c r="A1049" s="7" t="s">
        <v>2180</v>
      </c>
      <c r="B1049" s="7" t="s">
        <v>2181</v>
      </c>
      <c r="C1049" t="s">
        <v>1582</v>
      </c>
      <c r="G1049">
        <v>395</v>
      </c>
      <c r="H1049">
        <v>2</v>
      </c>
      <c r="I1049" s="16">
        <f t="shared" si="189"/>
        <v>790</v>
      </c>
      <c r="J1049">
        <v>1</v>
      </c>
      <c r="K1049">
        <f t="shared" si="190"/>
        <v>395</v>
      </c>
      <c r="L1049">
        <f t="shared" si="186"/>
        <v>1</v>
      </c>
      <c r="M1049">
        <f t="shared" si="191"/>
        <v>395</v>
      </c>
      <c r="N1049">
        <f t="shared" si="192"/>
        <v>98.75</v>
      </c>
      <c r="O1049">
        <f t="shared" si="193"/>
        <v>296.25</v>
      </c>
      <c r="R1049" s="21" t="str">
        <f t="shared" si="198"/>
        <v>THEVAI ORU DEVATHAI  by Rajeshkumar</v>
      </c>
    </row>
    <row r="1050" spans="1:18" hidden="1" x14ac:dyDescent="0.3">
      <c r="A1050" s="7" t="s">
        <v>2182</v>
      </c>
      <c r="B1050" s="7" t="s">
        <v>2183</v>
      </c>
      <c r="C1050" t="s">
        <v>1582</v>
      </c>
      <c r="G1050">
        <v>360</v>
      </c>
      <c r="H1050">
        <v>2</v>
      </c>
      <c r="I1050" s="16">
        <f t="shared" si="189"/>
        <v>720</v>
      </c>
      <c r="J1050">
        <v>2</v>
      </c>
      <c r="K1050">
        <f t="shared" si="190"/>
        <v>720</v>
      </c>
      <c r="L1050">
        <f t="shared" si="186"/>
        <v>0</v>
      </c>
      <c r="M1050">
        <f t="shared" si="191"/>
        <v>0</v>
      </c>
      <c r="N1050">
        <f t="shared" si="192"/>
        <v>0</v>
      </c>
      <c r="O1050">
        <f t="shared" si="193"/>
        <v>0</v>
      </c>
    </row>
    <row r="1051" spans="1:18" hidden="1" x14ac:dyDescent="0.3">
      <c r="A1051" s="7" t="s">
        <v>2184</v>
      </c>
      <c r="B1051" s="7" t="s">
        <v>2185</v>
      </c>
      <c r="C1051" t="s">
        <v>1582</v>
      </c>
      <c r="G1051">
        <v>450</v>
      </c>
      <c r="H1051">
        <v>2</v>
      </c>
      <c r="I1051" s="16">
        <f t="shared" si="189"/>
        <v>900</v>
      </c>
      <c r="J1051">
        <v>2</v>
      </c>
      <c r="K1051">
        <f t="shared" si="190"/>
        <v>900</v>
      </c>
      <c r="L1051">
        <f t="shared" si="186"/>
        <v>0</v>
      </c>
      <c r="M1051">
        <f t="shared" si="191"/>
        <v>0</v>
      </c>
      <c r="N1051">
        <f t="shared" si="192"/>
        <v>0</v>
      </c>
      <c r="O1051">
        <f t="shared" si="193"/>
        <v>0</v>
      </c>
    </row>
    <row r="1052" spans="1:18" hidden="1" x14ac:dyDescent="0.3">
      <c r="A1052" s="7" t="s">
        <v>2186</v>
      </c>
      <c r="B1052" s="7" t="s">
        <v>2187</v>
      </c>
      <c r="C1052" t="s">
        <v>1582</v>
      </c>
      <c r="G1052">
        <v>230</v>
      </c>
      <c r="H1052">
        <v>2</v>
      </c>
      <c r="I1052" s="16">
        <f t="shared" si="189"/>
        <v>460</v>
      </c>
      <c r="J1052">
        <v>2</v>
      </c>
      <c r="K1052">
        <f t="shared" si="190"/>
        <v>460</v>
      </c>
      <c r="L1052">
        <f t="shared" si="186"/>
        <v>0</v>
      </c>
      <c r="M1052">
        <f t="shared" si="191"/>
        <v>0</v>
      </c>
      <c r="N1052">
        <f t="shared" si="192"/>
        <v>0</v>
      </c>
      <c r="O1052">
        <f t="shared" si="193"/>
        <v>0</v>
      </c>
    </row>
    <row r="1053" spans="1:18" ht="25.5" x14ac:dyDescent="0.4">
      <c r="A1053" s="7" t="s">
        <v>2188</v>
      </c>
      <c r="B1053" s="7" t="s">
        <v>2189</v>
      </c>
      <c r="C1053" t="s">
        <v>1582</v>
      </c>
      <c r="G1053">
        <v>300</v>
      </c>
      <c r="H1053">
        <v>2</v>
      </c>
      <c r="I1053" s="16">
        <f t="shared" si="189"/>
        <v>600</v>
      </c>
      <c r="J1053">
        <v>1</v>
      </c>
      <c r="K1053">
        <f t="shared" si="190"/>
        <v>300</v>
      </c>
      <c r="L1053">
        <f t="shared" si="186"/>
        <v>1</v>
      </c>
      <c r="M1053">
        <f t="shared" si="191"/>
        <v>300</v>
      </c>
      <c r="N1053">
        <f t="shared" si="192"/>
        <v>75</v>
      </c>
      <c r="O1053">
        <f t="shared" si="193"/>
        <v>225</v>
      </c>
      <c r="R1053" s="21" t="str">
        <f>_xlfn.TEXTJOIN("  by ",TRUE,B1052,C1052)</f>
        <v>PATHINORAVATHU AVATHARAM - PANI NILAVU ( 2 NOVEL COMBO)  by Rajeshkumar</v>
      </c>
    </row>
    <row r="1054" spans="1:18" ht="25.5" hidden="1" x14ac:dyDescent="0.3">
      <c r="A1054" s="7" t="s">
        <v>2190</v>
      </c>
      <c r="B1054" s="7" t="s">
        <v>2191</v>
      </c>
      <c r="C1054" t="s">
        <v>1582</v>
      </c>
      <c r="G1054">
        <v>350</v>
      </c>
      <c r="H1054">
        <v>2</v>
      </c>
      <c r="I1054" s="16">
        <f t="shared" si="189"/>
        <v>700</v>
      </c>
      <c r="J1054">
        <v>2</v>
      </c>
      <c r="K1054">
        <f t="shared" si="190"/>
        <v>700</v>
      </c>
      <c r="L1054">
        <f t="shared" si="186"/>
        <v>0</v>
      </c>
      <c r="M1054">
        <f t="shared" si="191"/>
        <v>0</v>
      </c>
      <c r="N1054">
        <f t="shared" si="192"/>
        <v>0</v>
      </c>
      <c r="O1054">
        <f t="shared" si="193"/>
        <v>0</v>
      </c>
    </row>
    <row r="1055" spans="1:18" ht="25.5" hidden="1" x14ac:dyDescent="0.3">
      <c r="A1055" s="7" t="s">
        <v>2192</v>
      </c>
      <c r="B1055" s="7" t="s">
        <v>2193</v>
      </c>
      <c r="C1055" t="s">
        <v>1582</v>
      </c>
      <c r="G1055">
        <v>230</v>
      </c>
      <c r="H1055">
        <v>2</v>
      </c>
      <c r="I1055" s="16">
        <f t="shared" si="189"/>
        <v>460</v>
      </c>
      <c r="J1055">
        <v>2</v>
      </c>
      <c r="K1055">
        <f t="shared" si="190"/>
        <v>460</v>
      </c>
      <c r="L1055">
        <f t="shared" si="186"/>
        <v>0</v>
      </c>
      <c r="M1055">
        <f t="shared" si="191"/>
        <v>0</v>
      </c>
      <c r="N1055">
        <f t="shared" si="192"/>
        <v>0</v>
      </c>
      <c r="O1055">
        <f t="shared" si="193"/>
        <v>0</v>
      </c>
    </row>
    <row r="1056" spans="1:18" ht="25.5" hidden="1" x14ac:dyDescent="0.3">
      <c r="A1056" s="7" t="s">
        <v>2194</v>
      </c>
      <c r="B1056" s="7" t="s">
        <v>2195</v>
      </c>
      <c r="C1056" t="s">
        <v>1582</v>
      </c>
      <c r="G1056">
        <v>220</v>
      </c>
      <c r="H1056">
        <v>2</v>
      </c>
      <c r="I1056" s="16">
        <f t="shared" si="189"/>
        <v>440</v>
      </c>
      <c r="J1056">
        <v>2</v>
      </c>
      <c r="K1056">
        <f t="shared" si="190"/>
        <v>440</v>
      </c>
      <c r="L1056">
        <f t="shared" si="186"/>
        <v>0</v>
      </c>
      <c r="M1056">
        <f t="shared" si="191"/>
        <v>0</v>
      </c>
      <c r="N1056">
        <f t="shared" si="192"/>
        <v>0</v>
      </c>
      <c r="O1056">
        <f t="shared" si="193"/>
        <v>0</v>
      </c>
    </row>
    <row r="1057" spans="1:18" ht="25.5" x14ac:dyDescent="0.4">
      <c r="A1057" s="7" t="s">
        <v>2196</v>
      </c>
      <c r="B1057" s="7" t="s">
        <v>2197</v>
      </c>
      <c r="C1057" t="s">
        <v>1582</v>
      </c>
      <c r="G1057">
        <v>240</v>
      </c>
      <c r="H1057">
        <v>2</v>
      </c>
      <c r="I1057" s="16">
        <f t="shared" si="189"/>
        <v>480</v>
      </c>
      <c r="J1057">
        <v>1</v>
      </c>
      <c r="K1057">
        <f t="shared" si="190"/>
        <v>240</v>
      </c>
      <c r="L1057">
        <f t="shared" si="186"/>
        <v>1</v>
      </c>
      <c r="M1057">
        <f t="shared" si="191"/>
        <v>240</v>
      </c>
      <c r="N1057">
        <f t="shared" si="192"/>
        <v>60</v>
      </c>
      <c r="O1057">
        <f t="shared" si="193"/>
        <v>180</v>
      </c>
      <c r="R1057" s="21" t="str">
        <f>_xlfn.TEXTJOIN("  by ",TRUE,B1056,C1056)</f>
        <v>POI POIYAITH THAVIRA VERONDRUMILLAI - ORE ORU NAAL ( 2 NOVEL COMBO)  by Rajeshkumar</v>
      </c>
    </row>
    <row r="1058" spans="1:18" hidden="1" x14ac:dyDescent="0.3">
      <c r="A1058" s="7" t="s">
        <v>2198</v>
      </c>
      <c r="B1058" s="7" t="s">
        <v>2199</v>
      </c>
      <c r="C1058" t="s">
        <v>1582</v>
      </c>
      <c r="G1058">
        <v>220</v>
      </c>
      <c r="H1058">
        <v>2</v>
      </c>
      <c r="I1058" s="16">
        <f t="shared" si="189"/>
        <v>440</v>
      </c>
      <c r="J1058">
        <v>2</v>
      </c>
      <c r="K1058">
        <f t="shared" si="190"/>
        <v>440</v>
      </c>
      <c r="L1058">
        <f t="shared" si="186"/>
        <v>0</v>
      </c>
      <c r="M1058">
        <f t="shared" si="191"/>
        <v>0</v>
      </c>
      <c r="N1058">
        <f t="shared" si="192"/>
        <v>0</v>
      </c>
      <c r="O1058">
        <f t="shared" si="193"/>
        <v>0</v>
      </c>
    </row>
    <row r="1059" spans="1:18" ht="18.3" x14ac:dyDescent="0.4">
      <c r="A1059" s="7" t="s">
        <v>2200</v>
      </c>
      <c r="B1059" s="7" t="s">
        <v>2201</v>
      </c>
      <c r="C1059" t="s">
        <v>1582</v>
      </c>
      <c r="G1059">
        <v>230</v>
      </c>
      <c r="H1059">
        <v>2</v>
      </c>
      <c r="I1059" s="16">
        <f t="shared" si="189"/>
        <v>460</v>
      </c>
      <c r="J1059">
        <v>0</v>
      </c>
      <c r="K1059">
        <f t="shared" si="190"/>
        <v>0</v>
      </c>
      <c r="L1059">
        <f t="shared" si="186"/>
        <v>2</v>
      </c>
      <c r="M1059">
        <f t="shared" si="191"/>
        <v>460</v>
      </c>
      <c r="N1059">
        <f t="shared" si="192"/>
        <v>115</v>
      </c>
      <c r="O1059">
        <f t="shared" si="193"/>
        <v>345</v>
      </c>
      <c r="R1059" s="21" t="str">
        <f t="shared" ref="R1059:R1077" si="199">_xlfn.TEXTJOIN("  by ",TRUE,B1058,C1058)</f>
        <v>KILIYUGAM - UYIR URUGUM SATHTHAM (2 NOVEL COMBO)  by Rajeshkumar</v>
      </c>
    </row>
    <row r="1060" spans="1:18" ht="18.3" x14ac:dyDescent="0.4">
      <c r="A1060" s="7" t="s">
        <v>2202</v>
      </c>
      <c r="B1060" s="7" t="s">
        <v>2203</v>
      </c>
      <c r="C1060" t="s">
        <v>1582</v>
      </c>
      <c r="G1060">
        <v>265</v>
      </c>
      <c r="H1060">
        <v>2</v>
      </c>
      <c r="I1060" s="16">
        <f t="shared" si="189"/>
        <v>530</v>
      </c>
      <c r="J1060">
        <v>0</v>
      </c>
      <c r="K1060">
        <f t="shared" si="190"/>
        <v>0</v>
      </c>
      <c r="L1060">
        <f t="shared" si="186"/>
        <v>2</v>
      </c>
      <c r="M1060">
        <f t="shared" si="191"/>
        <v>530</v>
      </c>
      <c r="N1060">
        <f t="shared" si="192"/>
        <v>132.5</v>
      </c>
      <c r="O1060">
        <f t="shared" si="193"/>
        <v>397.5</v>
      </c>
      <c r="R1060" s="21" t="str">
        <f t="shared" si="199"/>
        <v>SARPPA VIYUGAM - YETHO NADAKKIRATHU  by Rajeshkumar</v>
      </c>
    </row>
    <row r="1061" spans="1:18" ht="18.3" x14ac:dyDescent="0.4">
      <c r="A1061" s="7" t="s">
        <v>2204</v>
      </c>
      <c r="B1061" s="7" t="s">
        <v>2205</v>
      </c>
      <c r="C1061" t="s">
        <v>1582</v>
      </c>
      <c r="G1061">
        <v>285</v>
      </c>
      <c r="H1061">
        <v>2</v>
      </c>
      <c r="I1061" s="16">
        <f t="shared" si="189"/>
        <v>570</v>
      </c>
      <c r="J1061">
        <v>0</v>
      </c>
      <c r="K1061">
        <f t="shared" si="190"/>
        <v>0</v>
      </c>
      <c r="L1061">
        <f t="shared" si="186"/>
        <v>2</v>
      </c>
      <c r="M1061">
        <f t="shared" si="191"/>
        <v>570</v>
      </c>
      <c r="N1061">
        <f t="shared" si="192"/>
        <v>142.5</v>
      </c>
      <c r="O1061">
        <f t="shared" si="193"/>
        <v>427.5</v>
      </c>
      <c r="R1061" s="21" t="str">
        <f t="shared" si="199"/>
        <v>NALLIRAVUCH SEITHIGAL VAASIPADHU DHURGA PART 1  by Rajeshkumar</v>
      </c>
    </row>
    <row r="1062" spans="1:18" ht="18.3" x14ac:dyDescent="0.4">
      <c r="A1062" s="7" t="s">
        <v>2206</v>
      </c>
      <c r="B1062" s="7" t="s">
        <v>2207</v>
      </c>
      <c r="C1062" t="s">
        <v>1582</v>
      </c>
      <c r="G1062">
        <v>360</v>
      </c>
      <c r="H1062">
        <v>2</v>
      </c>
      <c r="I1062" s="16">
        <f t="shared" si="189"/>
        <v>720</v>
      </c>
      <c r="J1062">
        <v>0</v>
      </c>
      <c r="K1062">
        <f t="shared" si="190"/>
        <v>0</v>
      </c>
      <c r="L1062">
        <f t="shared" si="186"/>
        <v>2</v>
      </c>
      <c r="M1062">
        <f t="shared" si="191"/>
        <v>720</v>
      </c>
      <c r="N1062">
        <f t="shared" si="192"/>
        <v>180</v>
      </c>
      <c r="O1062">
        <f t="shared" si="193"/>
        <v>540</v>
      </c>
      <c r="R1062" s="21" t="str">
        <f t="shared" si="199"/>
        <v>NALLIRAVUCH SEITHIGAL VAASIPADHU DHURGA PART 2  by Rajeshkumar</v>
      </c>
    </row>
    <row r="1063" spans="1:18" ht="18.3" x14ac:dyDescent="0.4">
      <c r="A1063" s="7" t="s">
        <v>2208</v>
      </c>
      <c r="B1063" s="7" t="s">
        <v>2209</v>
      </c>
      <c r="C1063" t="s">
        <v>1582</v>
      </c>
      <c r="G1063">
        <v>260</v>
      </c>
      <c r="H1063">
        <v>2</v>
      </c>
      <c r="I1063" s="16">
        <f t="shared" si="189"/>
        <v>520</v>
      </c>
      <c r="J1063">
        <v>1</v>
      </c>
      <c r="K1063">
        <f t="shared" si="190"/>
        <v>260</v>
      </c>
      <c r="L1063">
        <f t="shared" si="186"/>
        <v>1</v>
      </c>
      <c r="M1063">
        <f t="shared" si="191"/>
        <v>260</v>
      </c>
      <c r="N1063">
        <f t="shared" si="192"/>
        <v>65</v>
      </c>
      <c r="O1063">
        <f t="shared" si="193"/>
        <v>195</v>
      </c>
      <c r="R1063" s="21" t="str">
        <f t="shared" si="199"/>
        <v>SELECT CRIME THRILLERS OF RAJESHKUMAR DIGEST 1 (ENGLISH)  by Rajeshkumar</v>
      </c>
    </row>
    <row r="1064" spans="1:18" ht="18.3" x14ac:dyDescent="0.4">
      <c r="A1064" s="7" t="s">
        <v>2210</v>
      </c>
      <c r="B1064" s="7" t="s">
        <v>2211</v>
      </c>
      <c r="C1064" t="s">
        <v>1582</v>
      </c>
      <c r="G1064">
        <v>325</v>
      </c>
      <c r="H1064">
        <v>2</v>
      </c>
      <c r="I1064" s="16">
        <f t="shared" si="189"/>
        <v>650</v>
      </c>
      <c r="J1064">
        <v>0</v>
      </c>
      <c r="K1064">
        <f t="shared" si="190"/>
        <v>0</v>
      </c>
      <c r="L1064">
        <f t="shared" ref="L1064:L1127" si="200">H1064-J1064</f>
        <v>2</v>
      </c>
      <c r="M1064">
        <f t="shared" si="191"/>
        <v>650</v>
      </c>
      <c r="N1064">
        <f t="shared" si="192"/>
        <v>162.5</v>
      </c>
      <c r="O1064">
        <f t="shared" si="193"/>
        <v>487.5</v>
      </c>
      <c r="R1064" s="21" t="str">
        <f t="shared" si="199"/>
        <v>THIK THIK THILAGA  by Rajeshkumar</v>
      </c>
    </row>
    <row r="1065" spans="1:18" ht="18.3" x14ac:dyDescent="0.4">
      <c r="A1065" s="7" t="s">
        <v>2212</v>
      </c>
      <c r="B1065" s="7" t="s">
        <v>2213</v>
      </c>
      <c r="C1065" t="s">
        <v>1582</v>
      </c>
      <c r="G1065">
        <v>225</v>
      </c>
      <c r="H1065">
        <v>2</v>
      </c>
      <c r="I1065" s="16">
        <f t="shared" si="189"/>
        <v>450</v>
      </c>
      <c r="J1065">
        <v>1</v>
      </c>
      <c r="K1065">
        <f t="shared" si="190"/>
        <v>225</v>
      </c>
      <c r="L1065">
        <f t="shared" si="200"/>
        <v>1</v>
      </c>
      <c r="M1065">
        <f t="shared" si="191"/>
        <v>225</v>
      </c>
      <c r="N1065">
        <f t="shared" si="192"/>
        <v>56.25</v>
      </c>
      <c r="O1065">
        <f t="shared" si="193"/>
        <v>168.75</v>
      </c>
      <c r="R1065" s="21" t="str">
        <f t="shared" si="199"/>
        <v>AMIRTHAM ENRAAL VISHAM  by Rajeshkumar</v>
      </c>
    </row>
    <row r="1066" spans="1:18" ht="25.5" x14ac:dyDescent="0.4">
      <c r="A1066" s="7" t="s">
        <v>2214</v>
      </c>
      <c r="B1066" s="7" t="s">
        <v>2215</v>
      </c>
      <c r="C1066" t="s">
        <v>1582</v>
      </c>
      <c r="G1066">
        <v>200</v>
      </c>
      <c r="H1066">
        <v>2</v>
      </c>
      <c r="I1066" s="16">
        <f t="shared" si="189"/>
        <v>400</v>
      </c>
      <c r="J1066">
        <v>1</v>
      </c>
      <c r="K1066">
        <f t="shared" si="190"/>
        <v>200</v>
      </c>
      <c r="L1066">
        <f t="shared" si="200"/>
        <v>1</v>
      </c>
      <c r="M1066">
        <f t="shared" si="191"/>
        <v>200</v>
      </c>
      <c r="N1066">
        <f t="shared" si="192"/>
        <v>50</v>
      </c>
      <c r="O1066">
        <f t="shared" si="193"/>
        <v>150</v>
      </c>
      <c r="R1066" s="21" t="str">
        <f t="shared" si="199"/>
        <v>NEELA NILA  by Rajeshkumar</v>
      </c>
    </row>
    <row r="1067" spans="1:18" ht="18.3" x14ac:dyDescent="0.4">
      <c r="A1067" s="7" t="s">
        <v>2216</v>
      </c>
      <c r="B1067" s="7" t="s">
        <v>2217</v>
      </c>
      <c r="C1067" t="s">
        <v>1582</v>
      </c>
      <c r="G1067">
        <v>250</v>
      </c>
      <c r="H1067">
        <v>2</v>
      </c>
      <c r="I1067" s="16">
        <f t="shared" si="189"/>
        <v>500</v>
      </c>
      <c r="J1067">
        <v>1</v>
      </c>
      <c r="K1067">
        <f t="shared" si="190"/>
        <v>250</v>
      </c>
      <c r="L1067">
        <f t="shared" si="200"/>
        <v>1</v>
      </c>
      <c r="M1067">
        <f t="shared" si="191"/>
        <v>250</v>
      </c>
      <c r="N1067">
        <f t="shared" si="192"/>
        <v>62.5</v>
      </c>
      <c r="O1067">
        <f t="shared" si="193"/>
        <v>187.5</v>
      </c>
      <c r="R1067" s="21" t="str">
        <f t="shared" si="199"/>
        <v>JANNAL SEETHAIGAL  - MAATHANGALIL AVAL MARGZHALI ( 2 NOVEL COMBO)  by Rajeshkumar</v>
      </c>
    </row>
    <row r="1068" spans="1:18" ht="18.3" x14ac:dyDescent="0.4">
      <c r="A1068" s="7" t="s">
        <v>2218</v>
      </c>
      <c r="B1068" s="7" t="s">
        <v>2219</v>
      </c>
      <c r="C1068" t="s">
        <v>1582</v>
      </c>
      <c r="G1068">
        <v>375</v>
      </c>
      <c r="H1068">
        <v>2</v>
      </c>
      <c r="I1068" s="16">
        <f t="shared" si="189"/>
        <v>750</v>
      </c>
      <c r="J1068">
        <v>1</v>
      </c>
      <c r="K1068">
        <f t="shared" si="190"/>
        <v>375</v>
      </c>
      <c r="L1068">
        <f t="shared" si="200"/>
        <v>1</v>
      </c>
      <c r="M1068">
        <f t="shared" si="191"/>
        <v>375</v>
      </c>
      <c r="N1068">
        <f t="shared" si="192"/>
        <v>93.75</v>
      </c>
      <c r="O1068">
        <f t="shared" si="193"/>
        <v>281.25</v>
      </c>
      <c r="R1068" s="21" t="str">
        <f t="shared" si="199"/>
        <v>PANJAMA PAATHAGAM - ARABIA ROJA ( 2 NOVEL COMBO)  by Rajeshkumar</v>
      </c>
    </row>
    <row r="1069" spans="1:18" ht="18.3" x14ac:dyDescent="0.4">
      <c r="A1069" s="7" t="s">
        <v>2220</v>
      </c>
      <c r="B1069" s="7" t="s">
        <v>2221</v>
      </c>
      <c r="C1069" t="s">
        <v>1582</v>
      </c>
      <c r="G1069">
        <v>250</v>
      </c>
      <c r="H1069">
        <v>2</v>
      </c>
      <c r="I1069" s="16">
        <f t="shared" si="189"/>
        <v>500</v>
      </c>
      <c r="J1069">
        <v>1</v>
      </c>
      <c r="K1069">
        <f t="shared" si="190"/>
        <v>250</v>
      </c>
      <c r="L1069">
        <f t="shared" si="200"/>
        <v>1</v>
      </c>
      <c r="M1069">
        <f t="shared" si="191"/>
        <v>250</v>
      </c>
      <c r="N1069">
        <f t="shared" si="192"/>
        <v>62.5</v>
      </c>
      <c r="O1069">
        <f t="shared" si="193"/>
        <v>187.5</v>
      </c>
      <c r="R1069" s="21" t="str">
        <f t="shared" si="199"/>
        <v>VIVEK, VISHNU, KONJAM VIBHAREETHAM!  by Rajeshkumar</v>
      </c>
    </row>
    <row r="1070" spans="1:18" ht="18.3" x14ac:dyDescent="0.4">
      <c r="A1070" s="7" t="s">
        <v>2222</v>
      </c>
      <c r="B1070" s="7" t="s">
        <v>2223</v>
      </c>
      <c r="C1070" t="s">
        <v>1582</v>
      </c>
      <c r="G1070">
        <v>225</v>
      </c>
      <c r="H1070">
        <v>2</v>
      </c>
      <c r="I1070" s="16">
        <f t="shared" si="189"/>
        <v>450</v>
      </c>
      <c r="J1070">
        <v>1</v>
      </c>
      <c r="K1070">
        <f t="shared" si="190"/>
        <v>225</v>
      </c>
      <c r="L1070">
        <f t="shared" si="200"/>
        <v>1</v>
      </c>
      <c r="M1070">
        <f t="shared" si="191"/>
        <v>225</v>
      </c>
      <c r="N1070">
        <f t="shared" si="192"/>
        <v>56.25</v>
      </c>
      <c r="O1070">
        <f t="shared" si="193"/>
        <v>168.75</v>
      </c>
      <c r="R1070" s="21" t="str">
        <f t="shared" si="199"/>
        <v>THE LAST SECOND (ENGLISH)  by Rajeshkumar</v>
      </c>
    </row>
    <row r="1071" spans="1:18" ht="18.3" x14ac:dyDescent="0.4">
      <c r="A1071" s="7" t="s">
        <v>2224</v>
      </c>
      <c r="B1071" s="7" t="s">
        <v>2225</v>
      </c>
      <c r="C1071" t="s">
        <v>1582</v>
      </c>
      <c r="G1071">
        <v>260</v>
      </c>
      <c r="H1071">
        <v>2</v>
      </c>
      <c r="I1071" s="16">
        <f t="shared" si="189"/>
        <v>520</v>
      </c>
      <c r="J1071">
        <v>1</v>
      </c>
      <c r="K1071">
        <f t="shared" si="190"/>
        <v>260</v>
      </c>
      <c r="L1071">
        <f t="shared" si="200"/>
        <v>1</v>
      </c>
      <c r="M1071">
        <f t="shared" si="191"/>
        <v>260</v>
      </c>
      <c r="N1071">
        <f t="shared" si="192"/>
        <v>65</v>
      </c>
      <c r="O1071">
        <f t="shared" si="193"/>
        <v>195</v>
      </c>
      <c r="R1071" s="21" t="str">
        <f t="shared" si="199"/>
        <v>SELECT CRIME THRILLERS OF RAJESHKUMAR DIGEST 2 (ENGLISH)  by Rajeshkumar</v>
      </c>
    </row>
    <row r="1072" spans="1:18" ht="25.5" x14ac:dyDescent="0.4">
      <c r="A1072" s="7" t="s">
        <v>2226</v>
      </c>
      <c r="B1072" s="7" t="s">
        <v>2227</v>
      </c>
      <c r="C1072" t="s">
        <v>1582</v>
      </c>
      <c r="G1072">
        <v>210</v>
      </c>
      <c r="H1072">
        <v>2</v>
      </c>
      <c r="I1072" s="16">
        <f t="shared" si="189"/>
        <v>420</v>
      </c>
      <c r="J1072">
        <v>1</v>
      </c>
      <c r="K1072">
        <f t="shared" si="190"/>
        <v>210</v>
      </c>
      <c r="L1072">
        <f t="shared" si="200"/>
        <v>1</v>
      </c>
      <c r="M1072">
        <f t="shared" si="191"/>
        <v>210</v>
      </c>
      <c r="N1072">
        <f t="shared" si="192"/>
        <v>52.5</v>
      </c>
      <c r="O1072">
        <f t="shared" si="193"/>
        <v>157.5</v>
      </c>
      <c r="R1072" s="21" t="str">
        <f t="shared" si="199"/>
        <v>KADAISI ETHIRI - MAHA SATHI (2 NOVEL COMBO)  by Rajeshkumar</v>
      </c>
    </row>
    <row r="1073" spans="1:18" ht="25.5" x14ac:dyDescent="0.4">
      <c r="A1073" s="7" t="s">
        <v>2228</v>
      </c>
      <c r="B1073" s="7" t="s">
        <v>2229</v>
      </c>
      <c r="C1073" t="s">
        <v>1582</v>
      </c>
      <c r="G1073">
        <v>260</v>
      </c>
      <c r="H1073">
        <v>2</v>
      </c>
      <c r="I1073" s="16">
        <f t="shared" si="189"/>
        <v>520</v>
      </c>
      <c r="J1073">
        <v>1</v>
      </c>
      <c r="K1073">
        <f t="shared" si="190"/>
        <v>260</v>
      </c>
      <c r="L1073">
        <f t="shared" si="200"/>
        <v>1</v>
      </c>
      <c r="M1073">
        <f t="shared" si="191"/>
        <v>260</v>
      </c>
      <c r="N1073">
        <f t="shared" si="192"/>
        <v>65</v>
      </c>
      <c r="O1073">
        <f t="shared" si="193"/>
        <v>195</v>
      </c>
      <c r="R1073" s="21" t="str">
        <f t="shared" si="199"/>
        <v>VIVEK ROOBALA VISHNU THUPPARIYUM NOVELGAL - THOGUTHI 4 ( 2  NOVEL COMBO ) - Ezhavathu Arivu, Vivekki  by Rajeshkumar</v>
      </c>
    </row>
    <row r="1074" spans="1:18" ht="18.3" x14ac:dyDescent="0.4">
      <c r="A1074" s="7" t="s">
        <v>2230</v>
      </c>
      <c r="B1074" s="7" t="s">
        <v>2231</v>
      </c>
      <c r="C1074" t="s">
        <v>1582</v>
      </c>
      <c r="G1074">
        <v>250</v>
      </c>
      <c r="H1074">
        <v>2</v>
      </c>
      <c r="I1074" s="16">
        <f t="shared" si="189"/>
        <v>500</v>
      </c>
      <c r="J1074">
        <v>0</v>
      </c>
      <c r="K1074">
        <f t="shared" si="190"/>
        <v>0</v>
      </c>
      <c r="L1074">
        <f t="shared" si="200"/>
        <v>2</v>
      </c>
      <c r="M1074">
        <f t="shared" si="191"/>
        <v>500</v>
      </c>
      <c r="N1074">
        <f t="shared" si="192"/>
        <v>125</v>
      </c>
      <c r="O1074">
        <f t="shared" si="193"/>
        <v>375</v>
      </c>
      <c r="R1074" s="21" t="str">
        <f t="shared" si="199"/>
        <v>VIVEK ROOBALA VISHNU THUPPARIYUM NOVELGAL - THOGUTHI 5 ( 2 NOVEL COMBO ) -Ippadikku Oru Indian, A fo  by Rajeshkumar</v>
      </c>
    </row>
    <row r="1075" spans="1:18" ht="18.3" x14ac:dyDescent="0.4">
      <c r="A1075" s="7" t="s">
        <v>2232</v>
      </c>
      <c r="B1075" s="7" t="s">
        <v>2233</v>
      </c>
      <c r="C1075" t="s">
        <v>1582</v>
      </c>
      <c r="G1075">
        <v>230</v>
      </c>
      <c r="H1075">
        <v>2</v>
      </c>
      <c r="I1075" s="16">
        <f t="shared" si="189"/>
        <v>460</v>
      </c>
      <c r="J1075">
        <v>1</v>
      </c>
      <c r="K1075">
        <f t="shared" si="190"/>
        <v>230</v>
      </c>
      <c r="L1075">
        <f t="shared" si="200"/>
        <v>1</v>
      </c>
      <c r="M1075">
        <f t="shared" si="191"/>
        <v>230</v>
      </c>
      <c r="N1075">
        <f t="shared" si="192"/>
        <v>57.5</v>
      </c>
      <c r="O1075">
        <f t="shared" si="193"/>
        <v>172.5</v>
      </c>
      <c r="R1075" s="21" t="str">
        <f t="shared" si="199"/>
        <v>RAJESHKUMARIN KURUNOVELGAL - THOGUTHI 1  by Rajeshkumar</v>
      </c>
    </row>
    <row r="1076" spans="1:18" ht="18.3" x14ac:dyDescent="0.4">
      <c r="A1076" s="7" t="s">
        <v>2234</v>
      </c>
      <c r="B1076" s="7" t="s">
        <v>2235</v>
      </c>
      <c r="C1076" t="s">
        <v>1582</v>
      </c>
      <c r="G1076">
        <v>225</v>
      </c>
      <c r="H1076">
        <v>2</v>
      </c>
      <c r="I1076" s="16">
        <f t="shared" si="189"/>
        <v>450</v>
      </c>
      <c r="J1076">
        <v>0</v>
      </c>
      <c r="K1076">
        <f t="shared" si="190"/>
        <v>0</v>
      </c>
      <c r="L1076">
        <f t="shared" si="200"/>
        <v>2</v>
      </c>
      <c r="M1076">
        <f t="shared" si="191"/>
        <v>450</v>
      </c>
      <c r="N1076">
        <f t="shared" si="192"/>
        <v>112.5</v>
      </c>
      <c r="O1076">
        <f t="shared" si="193"/>
        <v>337.5</v>
      </c>
      <c r="R1076" s="21" t="str">
        <f t="shared" si="199"/>
        <v>KANNAI NAMBATHE - THALAI ILLATHA SILAI  ( 2 NOVEL COMBO )  by Rajeshkumar</v>
      </c>
    </row>
    <row r="1077" spans="1:18" ht="18.3" x14ac:dyDescent="0.4">
      <c r="A1077" s="7" t="s">
        <v>2236</v>
      </c>
      <c r="B1077" s="7" t="s">
        <v>2237</v>
      </c>
      <c r="C1077" t="s">
        <v>1582</v>
      </c>
      <c r="G1077">
        <v>195</v>
      </c>
      <c r="H1077">
        <v>2</v>
      </c>
      <c r="I1077" s="16">
        <f t="shared" si="189"/>
        <v>390</v>
      </c>
      <c r="J1077">
        <v>1</v>
      </c>
      <c r="K1077">
        <f t="shared" si="190"/>
        <v>195</v>
      </c>
      <c r="L1077">
        <f t="shared" si="200"/>
        <v>1</v>
      </c>
      <c r="M1077">
        <f t="shared" si="191"/>
        <v>195</v>
      </c>
      <c r="N1077">
        <f t="shared" si="192"/>
        <v>48.75</v>
      </c>
      <c r="O1077">
        <f t="shared" si="193"/>
        <v>146.25</v>
      </c>
      <c r="R1077" s="21" t="str">
        <f t="shared" si="199"/>
        <v>MIDNIGHT RAINBOW (ENGLISH)  by Rajeshkumar</v>
      </c>
    </row>
    <row r="1078" spans="1:18" ht="25.5" hidden="1" x14ac:dyDescent="0.3">
      <c r="A1078" s="7" t="s">
        <v>2238</v>
      </c>
      <c r="B1078" s="7" t="s">
        <v>2239</v>
      </c>
      <c r="C1078" t="s">
        <v>1582</v>
      </c>
      <c r="G1078">
        <v>260</v>
      </c>
      <c r="H1078">
        <v>2</v>
      </c>
      <c r="I1078" s="16">
        <f t="shared" si="189"/>
        <v>520</v>
      </c>
      <c r="J1078">
        <v>2</v>
      </c>
      <c r="K1078">
        <f t="shared" si="190"/>
        <v>520</v>
      </c>
      <c r="L1078">
        <f t="shared" si="200"/>
        <v>0</v>
      </c>
      <c r="M1078">
        <f t="shared" si="191"/>
        <v>0</v>
      </c>
      <c r="N1078">
        <f t="shared" si="192"/>
        <v>0</v>
      </c>
      <c r="O1078">
        <f t="shared" si="193"/>
        <v>0</v>
      </c>
    </row>
    <row r="1079" spans="1:18" ht="25.5" hidden="1" x14ac:dyDescent="0.3">
      <c r="A1079" s="7" t="s">
        <v>2240</v>
      </c>
      <c r="B1079" s="7" t="s">
        <v>2241</v>
      </c>
      <c r="C1079" t="s">
        <v>1582</v>
      </c>
      <c r="G1079">
        <v>230</v>
      </c>
      <c r="H1079">
        <v>2</v>
      </c>
      <c r="I1079" s="16">
        <f t="shared" si="189"/>
        <v>460</v>
      </c>
      <c r="J1079">
        <v>2</v>
      </c>
      <c r="K1079">
        <f t="shared" si="190"/>
        <v>460</v>
      </c>
      <c r="L1079">
        <f t="shared" si="200"/>
        <v>0</v>
      </c>
      <c r="M1079">
        <f t="shared" si="191"/>
        <v>0</v>
      </c>
      <c r="N1079">
        <f t="shared" si="192"/>
        <v>0</v>
      </c>
      <c r="O1079">
        <f t="shared" si="193"/>
        <v>0</v>
      </c>
    </row>
    <row r="1080" spans="1:18" ht="18.3" x14ac:dyDescent="0.4">
      <c r="A1080" s="7" t="s">
        <v>2242</v>
      </c>
      <c r="B1080" s="7" t="s">
        <v>2243</v>
      </c>
      <c r="C1080" t="s">
        <v>1582</v>
      </c>
      <c r="G1080">
        <v>220</v>
      </c>
      <c r="H1080">
        <v>2</v>
      </c>
      <c r="I1080" s="16">
        <f t="shared" si="189"/>
        <v>440</v>
      </c>
      <c r="J1080">
        <v>1</v>
      </c>
      <c r="K1080">
        <f t="shared" si="190"/>
        <v>220</v>
      </c>
      <c r="L1080">
        <f t="shared" si="200"/>
        <v>1</v>
      </c>
      <c r="M1080">
        <f t="shared" si="191"/>
        <v>220</v>
      </c>
      <c r="N1080">
        <f t="shared" si="192"/>
        <v>55</v>
      </c>
      <c r="O1080">
        <f t="shared" si="193"/>
        <v>165</v>
      </c>
      <c r="R1080" s="21" t="str">
        <f>_xlfn.TEXTJOIN("  by ",TRUE,B1079,C1079)</f>
        <v>KUTTRAMUM KATTRU MARA ! - ANU ORE AACHARIYAM ( 2 NOVEL COMBO )  by Rajeshkumar</v>
      </c>
    </row>
    <row r="1081" spans="1:18" ht="25.5" hidden="1" x14ac:dyDescent="0.3">
      <c r="A1081" s="7" t="s">
        <v>2244</v>
      </c>
      <c r="B1081" s="7" t="s">
        <v>2245</v>
      </c>
      <c r="C1081" t="s">
        <v>1582</v>
      </c>
      <c r="G1081">
        <v>220</v>
      </c>
      <c r="H1081">
        <v>2</v>
      </c>
      <c r="I1081" s="16">
        <f t="shared" si="189"/>
        <v>440</v>
      </c>
      <c r="J1081">
        <v>2</v>
      </c>
      <c r="K1081">
        <f t="shared" si="190"/>
        <v>440</v>
      </c>
      <c r="L1081">
        <f t="shared" si="200"/>
        <v>0</v>
      </c>
      <c r="M1081">
        <f t="shared" si="191"/>
        <v>0</v>
      </c>
      <c r="N1081">
        <f t="shared" si="192"/>
        <v>0</v>
      </c>
      <c r="O1081">
        <f t="shared" si="193"/>
        <v>0</v>
      </c>
    </row>
    <row r="1082" spans="1:18" ht="25.5" x14ac:dyDescent="0.4">
      <c r="A1082" s="7" t="s">
        <v>2246</v>
      </c>
      <c r="B1082" s="7" t="s">
        <v>2247</v>
      </c>
      <c r="C1082" t="s">
        <v>1582</v>
      </c>
      <c r="G1082">
        <v>270</v>
      </c>
      <c r="H1082">
        <v>2</v>
      </c>
      <c r="I1082" s="16">
        <f t="shared" si="189"/>
        <v>540</v>
      </c>
      <c r="J1082">
        <v>1</v>
      </c>
      <c r="K1082">
        <f t="shared" si="190"/>
        <v>270</v>
      </c>
      <c r="L1082">
        <f t="shared" si="200"/>
        <v>1</v>
      </c>
      <c r="M1082">
        <f t="shared" si="191"/>
        <v>270</v>
      </c>
      <c r="N1082">
        <f t="shared" si="192"/>
        <v>67.5</v>
      </c>
      <c r="O1082">
        <f t="shared" si="193"/>
        <v>202.5</v>
      </c>
      <c r="R1082" s="21" t="str">
        <f>_xlfn.TEXTJOIN("  by ",TRUE,B1081,C1081)</f>
        <v>SAAGA VARAM -KOLAI THODARBUKKU APPAAL…! ( 2 NOVEL COMBO )  by Rajeshkumar</v>
      </c>
    </row>
    <row r="1083" spans="1:18" hidden="1" x14ac:dyDescent="0.3">
      <c r="A1083" s="7" t="s">
        <v>2248</v>
      </c>
      <c r="B1083" s="7" t="s">
        <v>2249</v>
      </c>
      <c r="C1083" t="s">
        <v>1582</v>
      </c>
      <c r="G1083">
        <v>220</v>
      </c>
      <c r="H1083">
        <v>2</v>
      </c>
      <c r="I1083" s="16">
        <f t="shared" si="189"/>
        <v>440</v>
      </c>
      <c r="J1083">
        <v>2</v>
      </c>
      <c r="K1083">
        <f t="shared" si="190"/>
        <v>440</v>
      </c>
      <c r="L1083">
        <f t="shared" si="200"/>
        <v>0</v>
      </c>
      <c r="M1083">
        <f t="shared" si="191"/>
        <v>0</v>
      </c>
      <c r="N1083">
        <f t="shared" si="192"/>
        <v>0</v>
      </c>
      <c r="O1083">
        <f t="shared" si="193"/>
        <v>0</v>
      </c>
    </row>
    <row r="1084" spans="1:18" hidden="1" x14ac:dyDescent="0.3">
      <c r="A1084" s="7" t="s">
        <v>2250</v>
      </c>
      <c r="B1084" s="7" t="s">
        <v>2251</v>
      </c>
      <c r="C1084" t="s">
        <v>1582</v>
      </c>
      <c r="G1084">
        <v>210</v>
      </c>
      <c r="H1084">
        <v>2</v>
      </c>
      <c r="I1084" s="16">
        <f t="shared" si="189"/>
        <v>420</v>
      </c>
      <c r="J1084">
        <v>2</v>
      </c>
      <c r="K1084">
        <f t="shared" si="190"/>
        <v>420</v>
      </c>
      <c r="L1084">
        <f t="shared" si="200"/>
        <v>0</v>
      </c>
      <c r="M1084">
        <f t="shared" si="191"/>
        <v>0</v>
      </c>
      <c r="N1084">
        <f t="shared" si="192"/>
        <v>0</v>
      </c>
      <c r="O1084">
        <f t="shared" si="193"/>
        <v>0</v>
      </c>
    </row>
    <row r="1085" spans="1:18" ht="18.3" x14ac:dyDescent="0.4">
      <c r="A1085" s="7" t="s">
        <v>2252</v>
      </c>
      <c r="B1085" s="7" t="s">
        <v>2253</v>
      </c>
      <c r="C1085" t="s">
        <v>1582</v>
      </c>
      <c r="G1085">
        <v>190</v>
      </c>
      <c r="H1085">
        <v>2</v>
      </c>
      <c r="I1085" s="16">
        <f t="shared" si="189"/>
        <v>380</v>
      </c>
      <c r="J1085">
        <v>1</v>
      </c>
      <c r="K1085">
        <f t="shared" si="190"/>
        <v>190</v>
      </c>
      <c r="L1085">
        <f t="shared" si="200"/>
        <v>1</v>
      </c>
      <c r="M1085">
        <f t="shared" si="191"/>
        <v>190</v>
      </c>
      <c r="N1085">
        <f t="shared" si="192"/>
        <v>47.5</v>
      </c>
      <c r="O1085">
        <f t="shared" si="193"/>
        <v>142.5</v>
      </c>
      <c r="R1085" s="21" t="str">
        <f>_xlfn.TEXTJOIN("  by ",TRUE,B1084,C1084)</f>
        <v>UTHADUGAL SUDUM - KAGITHA PULIGAL ( 2 NOVEL COMBO )  by Rajeshkumar</v>
      </c>
    </row>
    <row r="1086" spans="1:18" hidden="1" x14ac:dyDescent="0.3">
      <c r="A1086" s="7" t="s">
        <v>2254</v>
      </c>
      <c r="B1086" s="7" t="s">
        <v>2255</v>
      </c>
      <c r="C1086" t="s">
        <v>1582</v>
      </c>
      <c r="G1086">
        <v>190</v>
      </c>
      <c r="H1086">
        <v>2</v>
      </c>
      <c r="I1086" s="16">
        <f t="shared" si="189"/>
        <v>380</v>
      </c>
      <c r="J1086">
        <v>2</v>
      </c>
      <c r="K1086">
        <f t="shared" si="190"/>
        <v>380</v>
      </c>
      <c r="L1086">
        <f t="shared" si="200"/>
        <v>0</v>
      </c>
      <c r="M1086">
        <f t="shared" si="191"/>
        <v>0</v>
      </c>
      <c r="N1086">
        <f t="shared" si="192"/>
        <v>0</v>
      </c>
      <c r="O1086">
        <f t="shared" si="193"/>
        <v>0</v>
      </c>
    </row>
    <row r="1087" spans="1:18" ht="18.3" x14ac:dyDescent="0.4">
      <c r="A1087" s="7" t="s">
        <v>2256</v>
      </c>
      <c r="B1087" s="7" t="s">
        <v>2257</v>
      </c>
      <c r="C1087" t="s">
        <v>1582</v>
      </c>
      <c r="G1087">
        <v>190</v>
      </c>
      <c r="H1087">
        <v>2</v>
      </c>
      <c r="I1087" s="16">
        <f t="shared" si="189"/>
        <v>380</v>
      </c>
      <c r="J1087">
        <v>0</v>
      </c>
      <c r="K1087">
        <f t="shared" si="190"/>
        <v>0</v>
      </c>
      <c r="L1087">
        <f t="shared" si="200"/>
        <v>2</v>
      </c>
      <c r="M1087">
        <f t="shared" si="191"/>
        <v>380</v>
      </c>
      <c r="N1087">
        <f t="shared" si="192"/>
        <v>95</v>
      </c>
      <c r="O1087">
        <f t="shared" si="193"/>
        <v>285</v>
      </c>
      <c r="R1087" s="21" t="str">
        <f>_xlfn.TEXTJOIN("  by ",TRUE,B1086,C1086)</f>
        <v>ARUNTHATHIYUM AARU THOTTAKKALUM (SHORT STORY DIGEST)  by Rajeshkumar</v>
      </c>
    </row>
    <row r="1088" spans="1:18" hidden="1" x14ac:dyDescent="0.3">
      <c r="A1088" s="7" t="s">
        <v>2258</v>
      </c>
      <c r="B1088" s="7" t="s">
        <v>2259</v>
      </c>
      <c r="C1088" t="s">
        <v>1582</v>
      </c>
      <c r="G1088">
        <v>190</v>
      </c>
      <c r="H1088">
        <v>2</v>
      </c>
      <c r="I1088" s="16">
        <f t="shared" si="189"/>
        <v>380</v>
      </c>
      <c r="J1088">
        <v>2</v>
      </c>
      <c r="K1088">
        <f t="shared" si="190"/>
        <v>380</v>
      </c>
      <c r="L1088">
        <f t="shared" si="200"/>
        <v>0</v>
      </c>
      <c r="M1088">
        <f t="shared" si="191"/>
        <v>0</v>
      </c>
      <c r="N1088">
        <f t="shared" si="192"/>
        <v>0</v>
      </c>
      <c r="O1088">
        <f t="shared" si="193"/>
        <v>0</v>
      </c>
    </row>
    <row r="1089" spans="1:18" ht="18.3" x14ac:dyDescent="0.4">
      <c r="A1089" s="7" t="s">
        <v>2260</v>
      </c>
      <c r="B1089" s="7" t="s">
        <v>2261</v>
      </c>
      <c r="C1089" t="s">
        <v>1582</v>
      </c>
      <c r="G1089">
        <v>295</v>
      </c>
      <c r="H1089">
        <v>2</v>
      </c>
      <c r="I1089" s="16">
        <f t="shared" si="189"/>
        <v>590</v>
      </c>
      <c r="J1089">
        <v>1</v>
      </c>
      <c r="K1089">
        <f t="shared" si="190"/>
        <v>295</v>
      </c>
      <c r="L1089">
        <f t="shared" si="200"/>
        <v>1</v>
      </c>
      <c r="M1089">
        <f t="shared" si="191"/>
        <v>295</v>
      </c>
      <c r="N1089">
        <f t="shared" si="192"/>
        <v>73.75</v>
      </c>
      <c r="O1089">
        <f t="shared" si="193"/>
        <v>221.25</v>
      </c>
      <c r="R1089" s="21" t="str">
        <f t="shared" ref="R1089:R1092" si="201">_xlfn.TEXTJOIN("  by ",TRUE,B1088,C1088)</f>
        <v>ORU PACCHAINIRA ECHARIKKAI ( (SHORT STORY DIGEST)  by Rajeshkumar</v>
      </c>
    </row>
    <row r="1090" spans="1:18" ht="18.3" x14ac:dyDescent="0.4">
      <c r="A1090" s="7" t="s">
        <v>2262</v>
      </c>
      <c r="B1090" s="7" t="s">
        <v>2263</v>
      </c>
      <c r="C1090" t="s">
        <v>1582</v>
      </c>
      <c r="G1090">
        <v>395</v>
      </c>
      <c r="H1090">
        <v>2</v>
      </c>
      <c r="I1090" s="16">
        <f t="shared" si="189"/>
        <v>790</v>
      </c>
      <c r="J1090">
        <v>0</v>
      </c>
      <c r="K1090">
        <f t="shared" si="190"/>
        <v>0</v>
      </c>
      <c r="L1090">
        <f t="shared" si="200"/>
        <v>2</v>
      </c>
      <c r="M1090">
        <f t="shared" si="191"/>
        <v>790</v>
      </c>
      <c r="N1090">
        <f t="shared" si="192"/>
        <v>197.5</v>
      </c>
      <c r="O1090">
        <f t="shared" si="193"/>
        <v>592.5</v>
      </c>
      <c r="R1090" s="21" t="str">
        <f t="shared" si="201"/>
        <v>EVEREST THOTTUVIDUM UYARAMTHAAN  by Rajeshkumar</v>
      </c>
    </row>
    <row r="1091" spans="1:18" ht="18.3" x14ac:dyDescent="0.4">
      <c r="A1091" s="7" t="s">
        <v>2264</v>
      </c>
      <c r="B1091" s="7" t="s">
        <v>2265</v>
      </c>
      <c r="C1091" t="s">
        <v>1582</v>
      </c>
      <c r="G1091">
        <v>220</v>
      </c>
      <c r="H1091">
        <v>2</v>
      </c>
      <c r="I1091" s="16">
        <f t="shared" ref="I1091:I1128" si="202">H1091*G1091</f>
        <v>440</v>
      </c>
      <c r="J1091">
        <v>1</v>
      </c>
      <c r="K1091">
        <f t="shared" ref="K1091:K1128" si="203">J1091*G1091</f>
        <v>220</v>
      </c>
      <c r="L1091">
        <f t="shared" si="200"/>
        <v>1</v>
      </c>
      <c r="M1091">
        <f t="shared" ref="M1091:M1128" si="204">L1091*G1091</f>
        <v>220</v>
      </c>
      <c r="N1091">
        <f t="shared" ref="N1091:N1128" si="205">M1091*0.25</f>
        <v>55</v>
      </c>
      <c r="O1091">
        <f t="shared" ref="O1091:O1128" si="206">M1091-N1091</f>
        <v>165</v>
      </c>
      <c r="R1091" s="21" t="str">
        <f t="shared" si="201"/>
        <v>HITECH DHADHAKKAL  by Rajeshkumar</v>
      </c>
    </row>
    <row r="1092" spans="1:18" ht="25.5" x14ac:dyDescent="0.4">
      <c r="A1092" s="7" t="s">
        <v>2266</v>
      </c>
      <c r="B1092" s="7" t="s">
        <v>2267</v>
      </c>
      <c r="C1092" t="s">
        <v>1582</v>
      </c>
      <c r="G1092">
        <v>210</v>
      </c>
      <c r="H1092">
        <v>2</v>
      </c>
      <c r="I1092" s="16">
        <f t="shared" si="202"/>
        <v>420</v>
      </c>
      <c r="J1092">
        <v>0</v>
      </c>
      <c r="K1092">
        <f t="shared" si="203"/>
        <v>0</v>
      </c>
      <c r="L1092">
        <f t="shared" si="200"/>
        <v>2</v>
      </c>
      <c r="M1092">
        <f t="shared" si="204"/>
        <v>420</v>
      </c>
      <c r="N1092">
        <f t="shared" si="205"/>
        <v>105</v>
      </c>
      <c r="O1092">
        <f t="shared" si="206"/>
        <v>315</v>
      </c>
      <c r="R1092" s="21" t="str">
        <f t="shared" si="201"/>
        <v>CYANIDE PUNNAGAI - AINTHU GRAM AABATHU ( 2 NOVEL COMBO )  by Rajeshkumar</v>
      </c>
    </row>
    <row r="1093" spans="1:18" hidden="1" x14ac:dyDescent="0.3">
      <c r="A1093" s="7" t="s">
        <v>2268</v>
      </c>
      <c r="B1093" s="7" t="s">
        <v>2269</v>
      </c>
      <c r="C1093" t="s">
        <v>1582</v>
      </c>
      <c r="G1093">
        <v>220</v>
      </c>
      <c r="H1093">
        <v>2</v>
      </c>
      <c r="I1093" s="16">
        <f t="shared" si="202"/>
        <v>440</v>
      </c>
      <c r="J1093">
        <v>2</v>
      </c>
      <c r="K1093">
        <f t="shared" si="203"/>
        <v>440</v>
      </c>
      <c r="L1093">
        <f t="shared" si="200"/>
        <v>0</v>
      </c>
      <c r="M1093">
        <f t="shared" si="204"/>
        <v>0</v>
      </c>
      <c r="N1093">
        <f t="shared" si="205"/>
        <v>0</v>
      </c>
      <c r="O1093">
        <f t="shared" si="206"/>
        <v>0</v>
      </c>
    </row>
    <row r="1094" spans="1:18" ht="25.5" hidden="1" x14ac:dyDescent="0.3">
      <c r="A1094" s="7" t="s">
        <v>2270</v>
      </c>
      <c r="B1094" s="7" t="s">
        <v>2271</v>
      </c>
      <c r="C1094" t="s">
        <v>1582</v>
      </c>
      <c r="G1094">
        <v>230</v>
      </c>
      <c r="H1094">
        <v>2</v>
      </c>
      <c r="I1094" s="16">
        <f t="shared" si="202"/>
        <v>460</v>
      </c>
      <c r="J1094">
        <v>2</v>
      </c>
      <c r="K1094">
        <f t="shared" si="203"/>
        <v>460</v>
      </c>
      <c r="L1094">
        <f t="shared" si="200"/>
        <v>0</v>
      </c>
      <c r="M1094">
        <f t="shared" si="204"/>
        <v>0</v>
      </c>
      <c r="N1094">
        <f t="shared" si="205"/>
        <v>0</v>
      </c>
      <c r="O1094">
        <f t="shared" si="206"/>
        <v>0</v>
      </c>
    </row>
    <row r="1095" spans="1:18" ht="18.3" x14ac:dyDescent="0.4">
      <c r="A1095" s="7" t="s">
        <v>2272</v>
      </c>
      <c r="B1095" s="7" t="s">
        <v>2273</v>
      </c>
      <c r="C1095" t="s">
        <v>1582</v>
      </c>
      <c r="G1095">
        <v>240</v>
      </c>
      <c r="H1095">
        <v>2</v>
      </c>
      <c r="I1095" s="16">
        <f t="shared" si="202"/>
        <v>480</v>
      </c>
      <c r="J1095">
        <v>0</v>
      </c>
      <c r="K1095">
        <f t="shared" si="203"/>
        <v>0</v>
      </c>
      <c r="L1095">
        <f t="shared" si="200"/>
        <v>2</v>
      </c>
      <c r="M1095">
        <f t="shared" si="204"/>
        <v>480</v>
      </c>
      <c r="N1095">
        <f t="shared" si="205"/>
        <v>120</v>
      </c>
      <c r="O1095">
        <f t="shared" si="206"/>
        <v>360</v>
      </c>
      <c r="R1095" s="21" t="str">
        <f t="shared" ref="R1095:R1096" si="207">_xlfn.TEXTJOIN("  by ",TRUE,B1094,C1094)</f>
        <v>ARAI VINAADI ANIYAYAM  - ANGE... INGE ...ENGE ? ( 2 NOVEL COMBO )  by Rajeshkumar</v>
      </c>
    </row>
    <row r="1096" spans="1:18" ht="18.3" x14ac:dyDescent="0.4">
      <c r="A1096" s="7" t="s">
        <v>2274</v>
      </c>
      <c r="B1096" s="7" t="s">
        <v>2275</v>
      </c>
      <c r="C1096" t="s">
        <v>1582</v>
      </c>
      <c r="G1096">
        <v>220</v>
      </c>
      <c r="H1096">
        <v>2</v>
      </c>
      <c r="I1096" s="16">
        <f t="shared" si="202"/>
        <v>440</v>
      </c>
      <c r="J1096">
        <v>1</v>
      </c>
      <c r="K1096">
        <f t="shared" si="203"/>
        <v>220</v>
      </c>
      <c r="L1096">
        <f t="shared" si="200"/>
        <v>1</v>
      </c>
      <c r="M1096">
        <f t="shared" si="204"/>
        <v>220</v>
      </c>
      <c r="N1096">
        <f t="shared" si="205"/>
        <v>55</v>
      </c>
      <c r="O1096">
        <f t="shared" si="206"/>
        <v>165</v>
      </c>
      <c r="R1096" s="21" t="str">
        <f t="shared" si="207"/>
        <v>ANTHA 69 NAATKAL  - DECEMBER 31,1999 ( 2 NOVEL COMBO )  by Rajeshkumar</v>
      </c>
    </row>
    <row r="1097" spans="1:18" ht="25.5" hidden="1" x14ac:dyDescent="0.3">
      <c r="A1097" s="7" t="s">
        <v>2276</v>
      </c>
      <c r="B1097" s="7" t="s">
        <v>2277</v>
      </c>
      <c r="C1097" t="s">
        <v>1582</v>
      </c>
      <c r="G1097">
        <v>200</v>
      </c>
      <c r="H1097">
        <v>2</v>
      </c>
      <c r="I1097" s="16">
        <f t="shared" si="202"/>
        <v>400</v>
      </c>
      <c r="J1097">
        <v>2</v>
      </c>
      <c r="K1097">
        <f t="shared" si="203"/>
        <v>400</v>
      </c>
      <c r="L1097">
        <f t="shared" si="200"/>
        <v>0</v>
      </c>
      <c r="M1097">
        <f t="shared" si="204"/>
        <v>0</v>
      </c>
      <c r="N1097">
        <f t="shared" si="205"/>
        <v>0</v>
      </c>
      <c r="O1097">
        <f t="shared" si="206"/>
        <v>0</v>
      </c>
    </row>
    <row r="1098" spans="1:18" ht="25.5" x14ac:dyDescent="0.4">
      <c r="A1098" s="7" t="s">
        <v>2278</v>
      </c>
      <c r="B1098" s="7" t="s">
        <v>2279</v>
      </c>
      <c r="C1098" t="s">
        <v>1582</v>
      </c>
      <c r="G1098">
        <v>225</v>
      </c>
      <c r="H1098">
        <v>2</v>
      </c>
      <c r="I1098" s="16">
        <f t="shared" si="202"/>
        <v>450</v>
      </c>
      <c r="J1098">
        <v>1</v>
      </c>
      <c r="K1098">
        <f t="shared" si="203"/>
        <v>225</v>
      </c>
      <c r="L1098">
        <f t="shared" si="200"/>
        <v>1</v>
      </c>
      <c r="M1098">
        <f t="shared" si="204"/>
        <v>225</v>
      </c>
      <c r="N1098">
        <f t="shared" si="205"/>
        <v>56.25</v>
      </c>
      <c r="O1098">
        <f t="shared" si="206"/>
        <v>168.75</v>
      </c>
      <c r="R1098" s="21" t="str">
        <f t="shared" ref="R1098:R1101" si="208">_xlfn.TEXTJOIN("  by ",TRUE,B1097,C1097)</f>
        <v>MELLA MELLA  ENNAIK  KOLLADHEY  - PUDHUDELHI 5.45 A.M.  ( 2 NOVEL COMBO )  by Rajeshkumar</v>
      </c>
    </row>
    <row r="1099" spans="1:18" ht="18.3" x14ac:dyDescent="0.4">
      <c r="A1099" s="7" t="s">
        <v>2280</v>
      </c>
      <c r="B1099" s="7" t="s">
        <v>2281</v>
      </c>
      <c r="C1099" t="s">
        <v>1582</v>
      </c>
      <c r="G1099">
        <v>250</v>
      </c>
      <c r="H1099">
        <v>2</v>
      </c>
      <c r="I1099" s="16">
        <f t="shared" si="202"/>
        <v>500</v>
      </c>
      <c r="J1099">
        <v>0</v>
      </c>
      <c r="K1099">
        <f t="shared" si="203"/>
        <v>0</v>
      </c>
      <c r="L1099">
        <f t="shared" si="200"/>
        <v>2</v>
      </c>
      <c r="M1099">
        <f t="shared" si="204"/>
        <v>500</v>
      </c>
      <c r="N1099">
        <f t="shared" si="205"/>
        <v>125</v>
      </c>
      <c r="O1099">
        <f t="shared" si="206"/>
        <v>375</v>
      </c>
      <c r="R1099" s="21" t="str">
        <f t="shared" si="208"/>
        <v>SINDHIYA RATHTHAM INDIYA RATHTHAM  - EASTMENNIRA NIZHALGAL ( 2 NOVEL COMBO )  by Rajeshkumar</v>
      </c>
    </row>
    <row r="1100" spans="1:18" ht="18.3" x14ac:dyDescent="0.4">
      <c r="A1100" s="7" t="s">
        <v>2282</v>
      </c>
      <c r="B1100" s="7" t="s">
        <v>2283</v>
      </c>
      <c r="C1100" t="s">
        <v>1582</v>
      </c>
      <c r="G1100">
        <v>215</v>
      </c>
      <c r="H1100">
        <v>2</v>
      </c>
      <c r="I1100" s="16">
        <f t="shared" si="202"/>
        <v>430</v>
      </c>
      <c r="J1100">
        <v>0</v>
      </c>
      <c r="K1100">
        <f t="shared" si="203"/>
        <v>0</v>
      </c>
      <c r="L1100">
        <f t="shared" si="200"/>
        <v>2</v>
      </c>
      <c r="M1100">
        <f t="shared" si="204"/>
        <v>430</v>
      </c>
      <c r="N1100">
        <f t="shared" si="205"/>
        <v>107.5</v>
      </c>
      <c r="O1100">
        <f t="shared" si="206"/>
        <v>322.5</v>
      </c>
      <c r="R1100" s="21" t="str">
        <f t="shared" si="208"/>
        <v>BULLET PUNNAGAI - SIVAPPU NIMISHANGAL ( 2 NOVEL COMBO )  by Rajeshkumar</v>
      </c>
    </row>
    <row r="1101" spans="1:18" ht="25.5" x14ac:dyDescent="0.4">
      <c r="A1101" s="7" t="s">
        <v>2284</v>
      </c>
      <c r="B1101" s="7" t="s">
        <v>2285</v>
      </c>
      <c r="C1101" t="s">
        <v>1582</v>
      </c>
      <c r="G1101">
        <v>230</v>
      </c>
      <c r="H1101">
        <v>2</v>
      </c>
      <c r="I1101" s="16">
        <f t="shared" si="202"/>
        <v>460</v>
      </c>
      <c r="J1101">
        <v>1</v>
      </c>
      <c r="K1101">
        <f t="shared" si="203"/>
        <v>230</v>
      </c>
      <c r="L1101">
        <f t="shared" si="200"/>
        <v>1</v>
      </c>
      <c r="M1101">
        <f t="shared" si="204"/>
        <v>230</v>
      </c>
      <c r="N1101">
        <f t="shared" si="205"/>
        <v>57.5</v>
      </c>
      <c r="O1101">
        <f t="shared" si="206"/>
        <v>172.5</v>
      </c>
      <c r="R1101" s="21" t="str">
        <f t="shared" si="208"/>
        <v>NANDHINI NAALAI IRAKKIRAAL!  - INI ILLAI.. INDHU ( 2 NOVEL COMBO)  by Rajeshkumar</v>
      </c>
    </row>
    <row r="1102" spans="1:18" hidden="1" x14ac:dyDescent="0.3">
      <c r="A1102" s="7" t="s">
        <v>2286</v>
      </c>
      <c r="B1102" s="7" t="s">
        <v>2287</v>
      </c>
      <c r="C1102" t="s">
        <v>1582</v>
      </c>
      <c r="G1102">
        <v>265</v>
      </c>
      <c r="H1102">
        <v>2</v>
      </c>
      <c r="I1102" s="16">
        <f t="shared" si="202"/>
        <v>530</v>
      </c>
      <c r="J1102">
        <v>2</v>
      </c>
      <c r="K1102">
        <f t="shared" si="203"/>
        <v>530</v>
      </c>
      <c r="L1102">
        <f t="shared" si="200"/>
        <v>0</v>
      </c>
      <c r="M1102">
        <f t="shared" si="204"/>
        <v>0</v>
      </c>
      <c r="N1102">
        <f t="shared" si="205"/>
        <v>0</v>
      </c>
      <c r="O1102">
        <f t="shared" si="206"/>
        <v>0</v>
      </c>
    </row>
    <row r="1103" spans="1:18" ht="25.5" hidden="1" x14ac:dyDescent="0.3">
      <c r="A1103" s="7" t="s">
        <v>2288</v>
      </c>
      <c r="B1103" s="7" t="s">
        <v>2289</v>
      </c>
      <c r="C1103" t="s">
        <v>1582</v>
      </c>
      <c r="G1103">
        <v>260</v>
      </c>
      <c r="H1103">
        <v>2</v>
      </c>
      <c r="I1103" s="16">
        <f t="shared" si="202"/>
        <v>520</v>
      </c>
      <c r="J1103">
        <v>2</v>
      </c>
      <c r="K1103">
        <f t="shared" si="203"/>
        <v>520</v>
      </c>
      <c r="L1103">
        <f t="shared" si="200"/>
        <v>0</v>
      </c>
      <c r="M1103">
        <f t="shared" si="204"/>
        <v>0</v>
      </c>
      <c r="N1103">
        <f t="shared" si="205"/>
        <v>0</v>
      </c>
      <c r="O1103">
        <f t="shared" si="206"/>
        <v>0</v>
      </c>
    </row>
    <row r="1104" spans="1:18" ht="18.3" x14ac:dyDescent="0.4">
      <c r="A1104" s="7" t="s">
        <v>2290</v>
      </c>
      <c r="B1104" s="7" t="s">
        <v>2291</v>
      </c>
      <c r="C1104" t="s">
        <v>1582</v>
      </c>
      <c r="G1104">
        <v>260</v>
      </c>
      <c r="H1104">
        <v>2</v>
      </c>
      <c r="I1104" s="16">
        <f t="shared" si="202"/>
        <v>520</v>
      </c>
      <c r="J1104">
        <v>0</v>
      </c>
      <c r="K1104">
        <f t="shared" si="203"/>
        <v>0</v>
      </c>
      <c r="L1104">
        <f t="shared" si="200"/>
        <v>2</v>
      </c>
      <c r="M1104">
        <f t="shared" si="204"/>
        <v>520</v>
      </c>
      <c r="N1104">
        <f t="shared" si="205"/>
        <v>130</v>
      </c>
      <c r="O1104">
        <f t="shared" si="206"/>
        <v>390</v>
      </c>
      <c r="R1104" s="21" t="str">
        <f t="shared" ref="R1104:R1105" si="209">_xlfn.TEXTJOIN("  by ",TRUE,B1103,C1103)</f>
        <v>ULARAADHA RATHTHAM - ENRAAVATHU ORUNAAL ( 2 NOVEL COMBO )   by Rajeshkumar</v>
      </c>
    </row>
    <row r="1105" spans="1:18" ht="25.5" x14ac:dyDescent="0.4">
      <c r="A1105" s="7" t="s">
        <v>2292</v>
      </c>
      <c r="B1105" s="7" t="s">
        <v>2293</v>
      </c>
      <c r="C1105" t="s">
        <v>1582</v>
      </c>
      <c r="G1105">
        <v>200</v>
      </c>
      <c r="H1105">
        <v>2</v>
      </c>
      <c r="I1105" s="16">
        <f t="shared" si="202"/>
        <v>400</v>
      </c>
      <c r="J1105">
        <v>1</v>
      </c>
      <c r="K1105">
        <f t="shared" si="203"/>
        <v>200</v>
      </c>
      <c r="L1105">
        <f t="shared" si="200"/>
        <v>1</v>
      </c>
      <c r="M1105">
        <f t="shared" si="204"/>
        <v>200</v>
      </c>
      <c r="N1105">
        <f t="shared" si="205"/>
        <v>50</v>
      </c>
      <c r="O1105">
        <f t="shared" si="206"/>
        <v>150</v>
      </c>
      <c r="R1105" s="21" t="str">
        <f t="shared" si="209"/>
        <v>ORU KODI RAATHIRIGAL  - AGMARK MURDER  ( 2 NOVEL COMBO )  by Rajeshkumar</v>
      </c>
    </row>
    <row r="1106" spans="1:18" hidden="1" x14ac:dyDescent="0.3">
      <c r="A1106" s="7" t="s">
        <v>2294</v>
      </c>
      <c r="B1106" s="7" t="s">
        <v>2295</v>
      </c>
      <c r="C1106" t="s">
        <v>1582</v>
      </c>
      <c r="G1106">
        <v>290</v>
      </c>
      <c r="H1106">
        <v>2</v>
      </c>
      <c r="I1106" s="16">
        <f t="shared" si="202"/>
        <v>580</v>
      </c>
      <c r="J1106">
        <v>2</v>
      </c>
      <c r="K1106">
        <f t="shared" si="203"/>
        <v>580</v>
      </c>
      <c r="L1106">
        <f t="shared" si="200"/>
        <v>0</v>
      </c>
      <c r="M1106">
        <f t="shared" si="204"/>
        <v>0</v>
      </c>
      <c r="N1106">
        <f t="shared" si="205"/>
        <v>0</v>
      </c>
      <c r="O1106">
        <f t="shared" si="206"/>
        <v>0</v>
      </c>
    </row>
    <row r="1107" spans="1:18" ht="18.3" x14ac:dyDescent="0.4">
      <c r="A1107" s="7" t="s">
        <v>2296</v>
      </c>
      <c r="B1107" s="7" t="s">
        <v>2297</v>
      </c>
      <c r="C1107" t="s">
        <v>1582</v>
      </c>
      <c r="G1107">
        <v>190</v>
      </c>
      <c r="H1107">
        <v>2</v>
      </c>
      <c r="I1107" s="16">
        <f t="shared" si="202"/>
        <v>380</v>
      </c>
      <c r="J1107">
        <v>1</v>
      </c>
      <c r="K1107">
        <f t="shared" si="203"/>
        <v>190</v>
      </c>
      <c r="L1107">
        <f t="shared" si="200"/>
        <v>1</v>
      </c>
      <c r="M1107">
        <f t="shared" si="204"/>
        <v>190</v>
      </c>
      <c r="N1107">
        <f t="shared" si="205"/>
        <v>47.5</v>
      </c>
      <c r="O1107">
        <f t="shared" si="206"/>
        <v>142.5</v>
      </c>
      <c r="R1107" s="21" t="str">
        <f t="shared" ref="R1107:R1108" si="210">_xlfn.TEXTJOIN("  by ",TRUE,B1106,C1106)</f>
        <v>OOMATHTHAM POOKKAL  by Rajeshkumar</v>
      </c>
    </row>
    <row r="1108" spans="1:18" ht="18.3" x14ac:dyDescent="0.4">
      <c r="A1108" s="7" t="s">
        <v>2298</v>
      </c>
      <c r="B1108" s="7" t="s">
        <v>2299</v>
      </c>
      <c r="C1108" t="s">
        <v>1582</v>
      </c>
      <c r="G1108">
        <v>330</v>
      </c>
      <c r="H1108">
        <v>2</v>
      </c>
      <c r="I1108" s="16">
        <f t="shared" si="202"/>
        <v>660</v>
      </c>
      <c r="J1108">
        <v>1</v>
      </c>
      <c r="K1108">
        <f t="shared" si="203"/>
        <v>330</v>
      </c>
      <c r="L1108">
        <f t="shared" si="200"/>
        <v>1</v>
      </c>
      <c r="M1108">
        <f t="shared" si="204"/>
        <v>330</v>
      </c>
      <c r="N1108">
        <f t="shared" si="205"/>
        <v>82.5</v>
      </c>
      <c r="O1108">
        <f t="shared" si="206"/>
        <v>247.5</v>
      </c>
      <c r="R1108" s="21" t="str">
        <f t="shared" si="210"/>
        <v>KAAGIDHA ROJAKKAL  by Rajeshkumar</v>
      </c>
    </row>
    <row r="1109" spans="1:18" hidden="1" x14ac:dyDescent="0.3">
      <c r="A1109" s="7" t="s">
        <v>2300</v>
      </c>
      <c r="B1109" s="7" t="s">
        <v>2301</v>
      </c>
      <c r="C1109" t="s">
        <v>1582</v>
      </c>
      <c r="G1109">
        <v>350</v>
      </c>
      <c r="H1109">
        <v>2</v>
      </c>
      <c r="I1109" s="16">
        <f t="shared" si="202"/>
        <v>700</v>
      </c>
      <c r="J1109">
        <v>2</v>
      </c>
      <c r="K1109">
        <f t="shared" si="203"/>
        <v>700</v>
      </c>
      <c r="L1109">
        <f t="shared" si="200"/>
        <v>0</v>
      </c>
      <c r="M1109">
        <f t="shared" si="204"/>
        <v>0</v>
      </c>
      <c r="N1109">
        <f t="shared" si="205"/>
        <v>0</v>
      </c>
      <c r="O1109">
        <f t="shared" si="206"/>
        <v>0</v>
      </c>
    </row>
    <row r="1110" spans="1:18" ht="25.5" x14ac:dyDescent="0.4">
      <c r="A1110" s="7" t="s">
        <v>2302</v>
      </c>
      <c r="B1110" s="7" t="s">
        <v>2303</v>
      </c>
      <c r="C1110" t="s">
        <v>1582</v>
      </c>
      <c r="G1110">
        <v>350</v>
      </c>
      <c r="H1110">
        <v>2</v>
      </c>
      <c r="I1110" s="16">
        <f t="shared" si="202"/>
        <v>700</v>
      </c>
      <c r="J1110">
        <v>1</v>
      </c>
      <c r="K1110">
        <f t="shared" si="203"/>
        <v>350</v>
      </c>
      <c r="L1110">
        <f t="shared" si="200"/>
        <v>1</v>
      </c>
      <c r="M1110">
        <f t="shared" si="204"/>
        <v>350</v>
      </c>
      <c r="N1110">
        <f t="shared" si="205"/>
        <v>87.5</v>
      </c>
      <c r="O1110">
        <f t="shared" si="206"/>
        <v>262.5</v>
      </c>
      <c r="R1110" s="21" t="str">
        <f>_xlfn.TEXTJOIN("  by ",TRUE,B1109,C1109)</f>
        <v>KONJAM MEGAM KONJAM NILAVU  by Rajeshkumar</v>
      </c>
    </row>
    <row r="1111" spans="1:18" ht="25.5" hidden="1" x14ac:dyDescent="0.3">
      <c r="A1111" s="7" t="s">
        <v>2304</v>
      </c>
      <c r="B1111" s="7" t="s">
        <v>2305</v>
      </c>
      <c r="C1111" t="s">
        <v>1582</v>
      </c>
      <c r="G1111">
        <v>330</v>
      </c>
      <c r="H1111">
        <v>2</v>
      </c>
      <c r="I1111" s="16">
        <f t="shared" si="202"/>
        <v>660</v>
      </c>
      <c r="J1111">
        <v>2</v>
      </c>
      <c r="K1111">
        <f t="shared" si="203"/>
        <v>660</v>
      </c>
      <c r="L1111">
        <f t="shared" si="200"/>
        <v>0</v>
      </c>
      <c r="M1111">
        <f t="shared" si="204"/>
        <v>0</v>
      </c>
      <c r="N1111">
        <f t="shared" si="205"/>
        <v>0</v>
      </c>
      <c r="O1111">
        <f t="shared" si="206"/>
        <v>0</v>
      </c>
    </row>
    <row r="1112" spans="1:18" ht="25.5" x14ac:dyDescent="0.4">
      <c r="A1112" s="7" t="s">
        <v>2306</v>
      </c>
      <c r="B1112" s="7" t="s">
        <v>2307</v>
      </c>
      <c r="C1112" t="s">
        <v>1582</v>
      </c>
      <c r="G1112">
        <v>350</v>
      </c>
      <c r="H1112">
        <v>2</v>
      </c>
      <c r="I1112" s="16">
        <f t="shared" si="202"/>
        <v>700</v>
      </c>
      <c r="J1112">
        <v>1</v>
      </c>
      <c r="K1112">
        <f t="shared" si="203"/>
        <v>350</v>
      </c>
      <c r="L1112">
        <f t="shared" si="200"/>
        <v>1</v>
      </c>
      <c r="M1112">
        <f t="shared" si="204"/>
        <v>350</v>
      </c>
      <c r="N1112">
        <f t="shared" si="205"/>
        <v>87.5</v>
      </c>
      <c r="O1112">
        <f t="shared" si="206"/>
        <v>262.5</v>
      </c>
      <c r="R1112" s="21" t="str">
        <f t="shared" ref="R1112:R1114" si="211">_xlfn.TEXTJOIN("  by ",TRUE,B1111,C1111)</f>
        <v>VIDIYAADHA IRAVONDRU VENDUM - VAADAGAI DEVADHAI  ( 2 NOVEL COMBO )  by Rajeshkumar</v>
      </c>
    </row>
    <row r="1113" spans="1:18" ht="18.3" x14ac:dyDescent="0.4">
      <c r="A1113" s="7" t="s">
        <v>2308</v>
      </c>
      <c r="B1113" s="7" t="s">
        <v>2309</v>
      </c>
      <c r="C1113" t="s">
        <v>1582</v>
      </c>
      <c r="G1113">
        <v>280</v>
      </c>
      <c r="H1113">
        <v>2</v>
      </c>
      <c r="I1113" s="16">
        <f t="shared" si="202"/>
        <v>560</v>
      </c>
      <c r="J1113">
        <v>1</v>
      </c>
      <c r="K1113">
        <f t="shared" si="203"/>
        <v>280</v>
      </c>
      <c r="L1113">
        <f t="shared" si="200"/>
        <v>1</v>
      </c>
      <c r="M1113">
        <f t="shared" si="204"/>
        <v>280</v>
      </c>
      <c r="N1113">
        <f t="shared" si="205"/>
        <v>70</v>
      </c>
      <c r="O1113">
        <f t="shared" si="206"/>
        <v>210</v>
      </c>
      <c r="R1113" s="21" t="str">
        <f t="shared" si="211"/>
        <v>VELVET KILLER - INIMAIKKU INNORU PEYAR ANITHA - SUTTUVIDA SUTTUVIDATH THODARUM ( 3 NOVEL COMBO )  by Rajeshkumar</v>
      </c>
    </row>
    <row r="1114" spans="1:18" ht="18.3" x14ac:dyDescent="0.4">
      <c r="A1114" s="7" t="s">
        <v>2310</v>
      </c>
      <c r="B1114" s="7" t="s">
        <v>2311</v>
      </c>
      <c r="C1114" t="s">
        <v>1582</v>
      </c>
      <c r="G1114">
        <v>270</v>
      </c>
      <c r="H1114">
        <v>2</v>
      </c>
      <c r="I1114" s="16">
        <f t="shared" si="202"/>
        <v>540</v>
      </c>
      <c r="J1114">
        <v>1</v>
      </c>
      <c r="K1114">
        <f t="shared" si="203"/>
        <v>270</v>
      </c>
      <c r="L1114">
        <f t="shared" si="200"/>
        <v>1</v>
      </c>
      <c r="M1114">
        <f t="shared" si="204"/>
        <v>270</v>
      </c>
      <c r="N1114">
        <f t="shared" si="205"/>
        <v>67.5</v>
      </c>
      <c r="O1114">
        <f t="shared" si="206"/>
        <v>202.5</v>
      </c>
      <c r="R1114" s="21" t="str">
        <f t="shared" si="211"/>
        <v>UCCHI NILA - THIGIL KAALAM ( 2 NOVEL COMBO)  by Rajeshkumar</v>
      </c>
    </row>
    <row r="1115" spans="1:18" hidden="1" x14ac:dyDescent="0.3">
      <c r="A1115" s="7" t="s">
        <v>2312</v>
      </c>
      <c r="B1115" s="7" t="s">
        <v>2313</v>
      </c>
      <c r="C1115" t="s">
        <v>1582</v>
      </c>
      <c r="G1115">
        <v>250</v>
      </c>
      <c r="H1115">
        <v>2</v>
      </c>
      <c r="I1115" s="16">
        <f t="shared" si="202"/>
        <v>500</v>
      </c>
      <c r="J1115">
        <v>2</v>
      </c>
      <c r="K1115">
        <f t="shared" si="203"/>
        <v>500</v>
      </c>
      <c r="L1115">
        <f t="shared" si="200"/>
        <v>0</v>
      </c>
      <c r="M1115">
        <f t="shared" si="204"/>
        <v>0</v>
      </c>
      <c r="N1115">
        <f t="shared" si="205"/>
        <v>0</v>
      </c>
      <c r="O1115">
        <f t="shared" si="206"/>
        <v>0</v>
      </c>
    </row>
    <row r="1116" spans="1:18" hidden="1" x14ac:dyDescent="0.3">
      <c r="A1116" s="7" t="s">
        <v>2314</v>
      </c>
      <c r="B1116" s="7" t="s">
        <v>2315</v>
      </c>
      <c r="C1116" t="s">
        <v>1582</v>
      </c>
      <c r="G1116">
        <v>200</v>
      </c>
      <c r="H1116">
        <v>2</v>
      </c>
      <c r="I1116" s="16">
        <f t="shared" si="202"/>
        <v>400</v>
      </c>
      <c r="J1116">
        <v>2</v>
      </c>
      <c r="K1116">
        <f t="shared" si="203"/>
        <v>400</v>
      </c>
      <c r="L1116">
        <f t="shared" si="200"/>
        <v>0</v>
      </c>
      <c r="M1116">
        <f t="shared" si="204"/>
        <v>0</v>
      </c>
      <c r="N1116">
        <f t="shared" si="205"/>
        <v>0</v>
      </c>
      <c r="O1116">
        <f t="shared" si="206"/>
        <v>0</v>
      </c>
    </row>
    <row r="1117" spans="1:18" ht="18.3" x14ac:dyDescent="0.4">
      <c r="A1117" s="7" t="s">
        <v>2316</v>
      </c>
      <c r="B1117" s="7" t="s">
        <v>2317</v>
      </c>
      <c r="C1117" t="s">
        <v>1582</v>
      </c>
      <c r="G1117">
        <v>330</v>
      </c>
      <c r="H1117">
        <v>2</v>
      </c>
      <c r="I1117" s="16">
        <f t="shared" si="202"/>
        <v>660</v>
      </c>
      <c r="J1117">
        <v>1</v>
      </c>
      <c r="K1117">
        <f t="shared" si="203"/>
        <v>330</v>
      </c>
      <c r="L1117">
        <f t="shared" si="200"/>
        <v>1</v>
      </c>
      <c r="M1117">
        <f t="shared" si="204"/>
        <v>330</v>
      </c>
      <c r="N1117">
        <f t="shared" si="205"/>
        <v>82.5</v>
      </c>
      <c r="O1117">
        <f t="shared" si="206"/>
        <v>247.5</v>
      </c>
      <c r="R1117" s="21" t="str">
        <f t="shared" ref="R1117:R1121" si="212">_xlfn.TEXTJOIN("  by ",TRUE,B1116,C1116)</f>
        <v>INGAE VIVEK RAAJIYAM  by Rajeshkumar</v>
      </c>
    </row>
    <row r="1118" spans="1:18" ht="18.3" x14ac:dyDescent="0.4">
      <c r="A1118" s="7" t="s">
        <v>2318</v>
      </c>
      <c r="B1118" s="7" t="s">
        <v>2319</v>
      </c>
      <c r="C1118" t="s">
        <v>1582</v>
      </c>
      <c r="G1118">
        <v>300</v>
      </c>
      <c r="H1118">
        <v>2</v>
      </c>
      <c r="I1118" s="16">
        <f t="shared" si="202"/>
        <v>600</v>
      </c>
      <c r="J1118">
        <v>1</v>
      </c>
      <c r="K1118">
        <f t="shared" si="203"/>
        <v>300</v>
      </c>
      <c r="L1118">
        <f t="shared" si="200"/>
        <v>1</v>
      </c>
      <c r="M1118">
        <f t="shared" si="204"/>
        <v>300</v>
      </c>
      <c r="N1118">
        <f t="shared" si="205"/>
        <v>75</v>
      </c>
      <c r="O1118">
        <f t="shared" si="206"/>
        <v>225</v>
      </c>
      <c r="R1118" s="21" t="str">
        <f t="shared" si="212"/>
        <v>ENAKKU NAANE NALLAVAN!  by Rajeshkumar</v>
      </c>
    </row>
    <row r="1119" spans="1:18" ht="18.3" x14ac:dyDescent="0.4">
      <c r="A1119" s="7" t="s">
        <v>2320</v>
      </c>
      <c r="B1119" s="7" t="s">
        <v>2321</v>
      </c>
      <c r="C1119" t="s">
        <v>1582</v>
      </c>
      <c r="G1119">
        <v>250</v>
      </c>
      <c r="H1119">
        <v>2</v>
      </c>
      <c r="I1119" s="16">
        <f t="shared" si="202"/>
        <v>500</v>
      </c>
      <c r="J1119">
        <v>1</v>
      </c>
      <c r="K1119">
        <f t="shared" si="203"/>
        <v>250</v>
      </c>
      <c r="L1119">
        <f t="shared" si="200"/>
        <v>1</v>
      </c>
      <c r="M1119">
        <f t="shared" si="204"/>
        <v>250</v>
      </c>
      <c r="N1119">
        <f t="shared" si="205"/>
        <v>62.5</v>
      </c>
      <c r="O1119">
        <f t="shared" si="206"/>
        <v>187.5</v>
      </c>
      <c r="R1119" s="21" t="str">
        <f t="shared" si="212"/>
        <v>ONDRUM ONDRUM MOONDRU!  by Rajeshkumar</v>
      </c>
    </row>
    <row r="1120" spans="1:18" ht="18.3" x14ac:dyDescent="0.4">
      <c r="A1120" s="7" t="s">
        <v>2322</v>
      </c>
      <c r="B1120" s="7" t="s">
        <v>2323</v>
      </c>
      <c r="C1120" t="s">
        <v>1582</v>
      </c>
      <c r="G1120">
        <v>350</v>
      </c>
      <c r="H1120">
        <v>2</v>
      </c>
      <c r="I1120" s="16">
        <f t="shared" si="202"/>
        <v>700</v>
      </c>
      <c r="J1120">
        <v>0</v>
      </c>
      <c r="K1120">
        <f t="shared" si="203"/>
        <v>0</v>
      </c>
      <c r="L1120">
        <f t="shared" si="200"/>
        <v>2</v>
      </c>
      <c r="M1120">
        <f t="shared" si="204"/>
        <v>700</v>
      </c>
      <c r="N1120">
        <f t="shared" si="205"/>
        <v>175</v>
      </c>
      <c r="O1120">
        <f t="shared" si="206"/>
        <v>525</v>
      </c>
      <c r="R1120" s="21" t="str">
        <f t="shared" si="212"/>
        <v>VARNAAVIN MARANAM - DHIK DHIK DHIVYA ( 2 NOVEL COMBO)  by Rajeshkumar</v>
      </c>
    </row>
    <row r="1121" spans="1:18" ht="18.3" x14ac:dyDescent="0.4">
      <c r="A1121" s="7" t="s">
        <v>2324</v>
      </c>
      <c r="B1121" s="7" t="s">
        <v>2325</v>
      </c>
      <c r="C1121" t="s">
        <v>1582</v>
      </c>
      <c r="G1121">
        <v>430</v>
      </c>
      <c r="H1121">
        <v>2</v>
      </c>
      <c r="I1121" s="16">
        <f t="shared" si="202"/>
        <v>860</v>
      </c>
      <c r="J1121">
        <v>1</v>
      </c>
      <c r="K1121">
        <f t="shared" si="203"/>
        <v>430</v>
      </c>
      <c r="L1121">
        <f t="shared" si="200"/>
        <v>1</v>
      </c>
      <c r="M1121">
        <f t="shared" si="204"/>
        <v>430</v>
      </c>
      <c r="N1121">
        <f t="shared" si="205"/>
        <v>107.5</v>
      </c>
      <c r="O1121">
        <f t="shared" si="206"/>
        <v>322.5</v>
      </c>
      <c r="R1121" s="21" t="str">
        <f t="shared" si="212"/>
        <v>INI MINMINI  by Rajeshkumar</v>
      </c>
    </row>
    <row r="1122" spans="1:18" hidden="1" x14ac:dyDescent="0.3">
      <c r="A1122" s="7" t="s">
        <v>2326</v>
      </c>
      <c r="B1122" s="7" t="s">
        <v>2327</v>
      </c>
      <c r="C1122" t="s">
        <v>1582</v>
      </c>
      <c r="G1122">
        <v>230</v>
      </c>
      <c r="H1122">
        <v>2</v>
      </c>
      <c r="I1122" s="16">
        <f t="shared" si="202"/>
        <v>460</v>
      </c>
      <c r="J1122">
        <v>2</v>
      </c>
      <c r="K1122">
        <f t="shared" si="203"/>
        <v>460</v>
      </c>
      <c r="L1122">
        <f t="shared" si="200"/>
        <v>0</v>
      </c>
      <c r="M1122">
        <f t="shared" si="204"/>
        <v>0</v>
      </c>
      <c r="N1122">
        <f t="shared" si="205"/>
        <v>0</v>
      </c>
      <c r="O1122">
        <f t="shared" si="206"/>
        <v>0</v>
      </c>
    </row>
    <row r="1123" spans="1:18" ht="25.5" x14ac:dyDescent="0.4">
      <c r="A1123" s="7" t="s">
        <v>2328</v>
      </c>
      <c r="B1123" s="7" t="s">
        <v>2329</v>
      </c>
      <c r="C1123" t="s">
        <v>1582</v>
      </c>
      <c r="G1123">
        <v>375</v>
      </c>
      <c r="H1123">
        <v>2</v>
      </c>
      <c r="I1123" s="16">
        <f t="shared" si="202"/>
        <v>750</v>
      </c>
      <c r="J1123">
        <v>0</v>
      </c>
      <c r="K1123">
        <f t="shared" si="203"/>
        <v>0</v>
      </c>
      <c r="L1123">
        <f t="shared" si="200"/>
        <v>2</v>
      </c>
      <c r="M1123">
        <f t="shared" si="204"/>
        <v>750</v>
      </c>
      <c r="N1123">
        <f t="shared" si="205"/>
        <v>187.5</v>
      </c>
      <c r="O1123">
        <f t="shared" si="206"/>
        <v>562.5</v>
      </c>
      <c r="R1123" s="21" t="str">
        <f>_xlfn.TEXTJOIN("  by ",TRUE,B1122,C1122)</f>
        <v>Onbathavathu Thisai Pathavathu Graham  by Rajeshkumar</v>
      </c>
    </row>
    <row r="1124" spans="1:18" hidden="1" x14ac:dyDescent="0.3">
      <c r="A1124" s="7" t="s">
        <v>2330</v>
      </c>
      <c r="B1124" s="7" t="s">
        <v>2331</v>
      </c>
      <c r="C1124" t="s">
        <v>1582</v>
      </c>
      <c r="G1124">
        <v>220</v>
      </c>
      <c r="H1124">
        <v>2</v>
      </c>
      <c r="I1124" s="16">
        <f t="shared" si="202"/>
        <v>440</v>
      </c>
      <c r="J1124">
        <v>2</v>
      </c>
      <c r="K1124">
        <f t="shared" si="203"/>
        <v>440</v>
      </c>
      <c r="L1124">
        <f t="shared" si="200"/>
        <v>0</v>
      </c>
      <c r="M1124">
        <f t="shared" si="204"/>
        <v>0</v>
      </c>
      <c r="N1124">
        <f t="shared" si="205"/>
        <v>0</v>
      </c>
      <c r="O1124">
        <f t="shared" si="206"/>
        <v>0</v>
      </c>
    </row>
    <row r="1125" spans="1:18" ht="18.3" x14ac:dyDescent="0.4">
      <c r="A1125" s="7" t="s">
        <v>2332</v>
      </c>
      <c r="B1125" s="7" t="s">
        <v>2333</v>
      </c>
      <c r="C1125" t="s">
        <v>1582</v>
      </c>
      <c r="G1125">
        <v>240</v>
      </c>
      <c r="H1125">
        <v>2</v>
      </c>
      <c r="I1125" s="16">
        <f t="shared" si="202"/>
        <v>480</v>
      </c>
      <c r="J1125">
        <v>0</v>
      </c>
      <c r="K1125">
        <f t="shared" si="203"/>
        <v>0</v>
      </c>
      <c r="L1125">
        <f t="shared" si="200"/>
        <v>2</v>
      </c>
      <c r="M1125">
        <f t="shared" si="204"/>
        <v>480</v>
      </c>
      <c r="N1125">
        <f t="shared" si="205"/>
        <v>120</v>
      </c>
      <c r="O1125">
        <f t="shared" si="206"/>
        <v>360</v>
      </c>
      <c r="R1125" s="21" t="str">
        <f t="shared" ref="R1125:R1127" si="213">_xlfn.TEXTJOIN("  by ",TRUE,B1124,C1124)</f>
        <v>Pooja, Pudhudelhi, Boogambam!  by Rajeshkumar</v>
      </c>
    </row>
    <row r="1126" spans="1:18" ht="18.3" x14ac:dyDescent="0.4">
      <c r="A1126" s="7" t="s">
        <v>2334</v>
      </c>
      <c r="B1126" s="7" t="s">
        <v>2335</v>
      </c>
      <c r="C1126" t="s">
        <v>1582</v>
      </c>
      <c r="G1126">
        <v>300</v>
      </c>
      <c r="H1126">
        <v>2</v>
      </c>
      <c r="I1126" s="16">
        <f t="shared" si="202"/>
        <v>600</v>
      </c>
      <c r="J1126">
        <v>0</v>
      </c>
      <c r="K1126">
        <f t="shared" si="203"/>
        <v>0</v>
      </c>
      <c r="L1126">
        <f t="shared" si="200"/>
        <v>2</v>
      </c>
      <c r="M1126">
        <f t="shared" si="204"/>
        <v>600</v>
      </c>
      <c r="N1126">
        <f t="shared" si="205"/>
        <v>150</v>
      </c>
      <c r="O1126">
        <f t="shared" si="206"/>
        <v>450</v>
      </c>
      <c r="R1126" s="21" t="str">
        <f t="shared" si="213"/>
        <v>Maandavan Kattalai  by Rajeshkumar</v>
      </c>
    </row>
    <row r="1127" spans="1:18" ht="18.3" x14ac:dyDescent="0.4">
      <c r="A1127" s="7" t="s">
        <v>2336</v>
      </c>
      <c r="B1127" s="7" t="s">
        <v>2337</v>
      </c>
      <c r="C1127" t="s">
        <v>1582</v>
      </c>
      <c r="G1127">
        <v>350</v>
      </c>
      <c r="H1127">
        <v>2</v>
      </c>
      <c r="I1127" s="16">
        <f t="shared" si="202"/>
        <v>700</v>
      </c>
      <c r="J1127">
        <v>1</v>
      </c>
      <c r="K1127">
        <f t="shared" si="203"/>
        <v>350</v>
      </c>
      <c r="L1127">
        <f t="shared" si="200"/>
        <v>1</v>
      </c>
      <c r="M1127">
        <f t="shared" si="204"/>
        <v>350</v>
      </c>
      <c r="N1127">
        <f t="shared" si="205"/>
        <v>87.5</v>
      </c>
      <c r="O1127">
        <f t="shared" si="206"/>
        <v>262.5</v>
      </c>
      <c r="R1127" s="21" t="str">
        <f t="shared" si="213"/>
        <v>SWASIKKA NERAMILLAI  by Rajeshkumar</v>
      </c>
    </row>
    <row r="1128" spans="1:18" hidden="1" x14ac:dyDescent="0.3">
      <c r="A1128" s="7" t="s">
        <v>2338</v>
      </c>
      <c r="B1128" s="7" t="s">
        <v>2339</v>
      </c>
      <c r="C1128" t="s">
        <v>1582</v>
      </c>
      <c r="G1128">
        <v>300</v>
      </c>
      <c r="H1128">
        <v>2</v>
      </c>
      <c r="I1128" s="16">
        <f t="shared" si="202"/>
        <v>600</v>
      </c>
      <c r="J1128">
        <v>2</v>
      </c>
      <c r="K1128">
        <f t="shared" si="203"/>
        <v>600</v>
      </c>
      <c r="L1128">
        <f t="shared" ref="L1128" si="214">H1128-J1128</f>
        <v>0</v>
      </c>
      <c r="M1128">
        <f t="shared" si="204"/>
        <v>0</v>
      </c>
      <c r="N1128">
        <f t="shared" si="205"/>
        <v>0</v>
      </c>
      <c r="O1128">
        <f t="shared" si="206"/>
        <v>0</v>
      </c>
    </row>
  </sheetData>
  <autoFilter ref="A1:L1128" xr:uid="{00000000-0009-0000-0000-000000000000}">
    <filterColumn colId="11">
      <filters>
        <filter val="1"/>
        <filter val="10"/>
        <filter val="12"/>
        <filter val="2"/>
        <filter val="3"/>
        <filter val="4"/>
        <filter val="6"/>
        <filter val="7"/>
        <filter val="8"/>
      </filters>
    </filterColumn>
  </autoFilter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BA78-CA97-4DE8-8F77-313E3658442E}">
  <dimension ref="A1:M476"/>
  <sheetViews>
    <sheetView tabSelected="1" workbookViewId="0">
      <selection activeCell="F18" sqref="F18"/>
    </sheetView>
  </sheetViews>
  <sheetFormatPr defaultRowHeight="14.4" x14ac:dyDescent="0.3"/>
  <cols>
    <col min="1" max="1" width="14.5" style="20" customWidth="1"/>
    <col min="2" max="2" width="44.69921875" bestFit="1" customWidth="1"/>
    <col min="4" max="4" width="17.5" customWidth="1"/>
  </cols>
  <sheetData>
    <row r="1" spans="1:13" x14ac:dyDescent="0.3">
      <c r="A1" s="19" t="s">
        <v>2357</v>
      </c>
      <c r="B1" s="18" t="s">
        <v>2358</v>
      </c>
      <c r="C1" s="18" t="s">
        <v>2359</v>
      </c>
      <c r="D1" s="18" t="s">
        <v>2360</v>
      </c>
      <c r="E1" s="18" t="s">
        <v>2361</v>
      </c>
      <c r="F1" s="18" t="s">
        <v>2362</v>
      </c>
      <c r="G1" s="18" t="s">
        <v>2363</v>
      </c>
      <c r="H1" s="18" t="s">
        <v>2364</v>
      </c>
      <c r="I1" s="18" t="s">
        <v>2365</v>
      </c>
      <c r="J1" s="18" t="s">
        <v>2366</v>
      </c>
      <c r="K1" s="18" t="s">
        <v>2367</v>
      </c>
      <c r="L1" s="18" t="s">
        <v>2368</v>
      </c>
      <c r="M1" s="18" t="s">
        <v>2369</v>
      </c>
    </row>
    <row r="2" spans="1:13" x14ac:dyDescent="0.3">
      <c r="A2" s="20">
        <v>9789356957466</v>
      </c>
      <c r="B2" t="s">
        <v>15</v>
      </c>
      <c r="C2">
        <v>4</v>
      </c>
      <c r="D2">
        <v>230</v>
      </c>
      <c r="E2">
        <v>0</v>
      </c>
    </row>
    <row r="3" spans="1:13" x14ac:dyDescent="0.3">
      <c r="A3" s="20">
        <v>9789356957480</v>
      </c>
      <c r="B3" t="s">
        <v>17</v>
      </c>
      <c r="C3">
        <v>3</v>
      </c>
      <c r="D3">
        <v>260</v>
      </c>
    </row>
    <row r="4" spans="1:13" x14ac:dyDescent="0.3">
      <c r="A4" s="20">
        <v>9789359420752</v>
      </c>
      <c r="B4" t="s">
        <v>19</v>
      </c>
      <c r="C4">
        <v>2</v>
      </c>
      <c r="D4">
        <v>220</v>
      </c>
    </row>
    <row r="5" spans="1:13" x14ac:dyDescent="0.3">
      <c r="A5" s="20">
        <v>9789359420882</v>
      </c>
      <c r="B5" t="s">
        <v>21</v>
      </c>
      <c r="C5">
        <v>1</v>
      </c>
      <c r="D5">
        <v>240</v>
      </c>
    </row>
    <row r="6" spans="1:13" x14ac:dyDescent="0.3">
      <c r="A6" s="20">
        <v>9789359420479</v>
      </c>
      <c r="B6" t="s">
        <v>23</v>
      </c>
      <c r="C6">
        <v>1</v>
      </c>
      <c r="D6">
        <v>190</v>
      </c>
    </row>
    <row r="7" spans="1:13" x14ac:dyDescent="0.3">
      <c r="A7" s="20">
        <v>9789356957435</v>
      </c>
      <c r="B7" t="s">
        <v>27</v>
      </c>
      <c r="C7">
        <v>2</v>
      </c>
      <c r="D7">
        <v>100</v>
      </c>
    </row>
    <row r="8" spans="1:13" x14ac:dyDescent="0.3">
      <c r="A8" s="20">
        <v>9789359420615</v>
      </c>
      <c r="B8" t="s">
        <v>45</v>
      </c>
      <c r="C8">
        <v>1</v>
      </c>
      <c r="D8">
        <v>40</v>
      </c>
    </row>
    <row r="9" spans="1:13" x14ac:dyDescent="0.3">
      <c r="A9" s="20">
        <v>9789356957428</v>
      </c>
      <c r="B9" t="s">
        <v>47</v>
      </c>
      <c r="C9">
        <v>1</v>
      </c>
      <c r="D9">
        <v>90</v>
      </c>
    </row>
    <row r="10" spans="1:13" x14ac:dyDescent="0.3">
      <c r="A10" s="20">
        <v>9789359420417</v>
      </c>
      <c r="B10" t="s">
        <v>57</v>
      </c>
      <c r="C10">
        <v>2</v>
      </c>
      <c r="D10">
        <v>110</v>
      </c>
    </row>
    <row r="11" spans="1:13" x14ac:dyDescent="0.3">
      <c r="A11" s="20">
        <v>9789359420547</v>
      </c>
      <c r="B11" t="s">
        <v>59</v>
      </c>
      <c r="C11">
        <v>1</v>
      </c>
      <c r="D11">
        <v>100</v>
      </c>
    </row>
    <row r="12" spans="1:13" x14ac:dyDescent="0.3">
      <c r="A12" s="20">
        <v>9789356955721</v>
      </c>
      <c r="B12" t="s">
        <v>61</v>
      </c>
      <c r="C12">
        <v>2</v>
      </c>
      <c r="D12">
        <v>110</v>
      </c>
    </row>
    <row r="13" spans="1:13" x14ac:dyDescent="0.3">
      <c r="A13" s="20">
        <v>9789359421032</v>
      </c>
      <c r="B13" t="s">
        <v>63</v>
      </c>
      <c r="C13">
        <v>1</v>
      </c>
      <c r="D13">
        <v>60</v>
      </c>
    </row>
    <row r="14" spans="1:13" x14ac:dyDescent="0.3">
      <c r="A14" s="20">
        <v>9789359421117</v>
      </c>
      <c r="B14" t="s">
        <v>69</v>
      </c>
      <c r="C14">
        <v>2</v>
      </c>
      <c r="D14">
        <v>110</v>
      </c>
    </row>
    <row r="15" spans="1:13" x14ac:dyDescent="0.3">
      <c r="A15" s="20">
        <v>9789359420592</v>
      </c>
      <c r="B15" t="s">
        <v>71</v>
      </c>
      <c r="C15">
        <v>1</v>
      </c>
      <c r="D15">
        <v>90</v>
      </c>
    </row>
    <row r="16" spans="1:13" x14ac:dyDescent="0.3">
      <c r="A16" s="20">
        <v>9789356957831</v>
      </c>
      <c r="B16" t="s">
        <v>73</v>
      </c>
      <c r="C16">
        <v>1</v>
      </c>
      <c r="D16">
        <v>80</v>
      </c>
    </row>
    <row r="17" spans="1:4" x14ac:dyDescent="0.3">
      <c r="A17" s="20">
        <v>9789356955745</v>
      </c>
      <c r="B17" t="s">
        <v>77</v>
      </c>
      <c r="C17">
        <v>1</v>
      </c>
      <c r="D17">
        <v>110</v>
      </c>
    </row>
    <row r="18" spans="1:4" x14ac:dyDescent="0.3">
      <c r="A18" s="20">
        <v>9789356957824</v>
      </c>
      <c r="B18" t="s">
        <v>81</v>
      </c>
      <c r="C18">
        <v>1</v>
      </c>
      <c r="D18">
        <v>70</v>
      </c>
    </row>
    <row r="19" spans="1:4" x14ac:dyDescent="0.3">
      <c r="A19" s="20">
        <v>9789359420127</v>
      </c>
      <c r="B19" t="s">
        <v>85</v>
      </c>
      <c r="C19">
        <v>1</v>
      </c>
      <c r="D19">
        <v>100</v>
      </c>
    </row>
    <row r="20" spans="1:4" x14ac:dyDescent="0.3">
      <c r="A20" s="20">
        <v>9789356953086</v>
      </c>
      <c r="B20" t="s">
        <v>87</v>
      </c>
      <c r="C20">
        <v>2</v>
      </c>
      <c r="D20">
        <v>60</v>
      </c>
    </row>
    <row r="21" spans="1:4" x14ac:dyDescent="0.3">
      <c r="A21" s="20">
        <v>9789356957848</v>
      </c>
      <c r="B21" t="s">
        <v>89</v>
      </c>
      <c r="C21">
        <v>1</v>
      </c>
      <c r="D21">
        <v>90</v>
      </c>
    </row>
    <row r="22" spans="1:4" x14ac:dyDescent="0.3">
      <c r="A22" s="20">
        <v>9789356953055</v>
      </c>
      <c r="B22" t="s">
        <v>91</v>
      </c>
      <c r="C22">
        <v>2</v>
      </c>
      <c r="D22">
        <v>100</v>
      </c>
    </row>
    <row r="23" spans="1:4" x14ac:dyDescent="0.3">
      <c r="A23" s="20">
        <v>9789356955080</v>
      </c>
      <c r="B23" t="s">
        <v>97</v>
      </c>
      <c r="C23">
        <v>1</v>
      </c>
      <c r="D23">
        <v>140</v>
      </c>
    </row>
    <row r="24" spans="1:4" x14ac:dyDescent="0.3">
      <c r="A24" s="20">
        <v>9789359420202</v>
      </c>
      <c r="B24" t="s">
        <v>101</v>
      </c>
      <c r="C24">
        <v>3</v>
      </c>
      <c r="D24">
        <v>310</v>
      </c>
    </row>
    <row r="25" spans="1:4" x14ac:dyDescent="0.3">
      <c r="A25" s="20">
        <v>9789356953079</v>
      </c>
      <c r="B25" t="s">
        <v>103</v>
      </c>
      <c r="C25">
        <v>1</v>
      </c>
      <c r="D25">
        <v>70</v>
      </c>
    </row>
    <row r="26" spans="1:4" x14ac:dyDescent="0.3">
      <c r="A26" s="20">
        <v>9789359425757</v>
      </c>
      <c r="B26" t="s">
        <v>105</v>
      </c>
      <c r="C26">
        <v>2</v>
      </c>
      <c r="D26">
        <v>200</v>
      </c>
    </row>
    <row r="27" spans="1:4" x14ac:dyDescent="0.3">
      <c r="A27" s="20">
        <v>9789359420639</v>
      </c>
      <c r="B27" t="s">
        <v>107</v>
      </c>
      <c r="C27">
        <v>1</v>
      </c>
      <c r="D27">
        <v>130</v>
      </c>
    </row>
    <row r="28" spans="1:4" x14ac:dyDescent="0.3">
      <c r="A28" s="20">
        <v>9789356953093</v>
      </c>
      <c r="B28" t="s">
        <v>109</v>
      </c>
      <c r="C28">
        <v>1</v>
      </c>
      <c r="D28">
        <v>70</v>
      </c>
    </row>
    <row r="29" spans="1:4" x14ac:dyDescent="0.3">
      <c r="A29" s="20">
        <v>9789359420936</v>
      </c>
      <c r="B29" t="s">
        <v>111</v>
      </c>
      <c r="C29">
        <v>2</v>
      </c>
      <c r="D29">
        <v>170</v>
      </c>
    </row>
    <row r="30" spans="1:4" x14ac:dyDescent="0.3">
      <c r="A30" s="20">
        <v>9789395686013</v>
      </c>
      <c r="B30" t="s">
        <v>139</v>
      </c>
      <c r="C30">
        <v>2</v>
      </c>
      <c r="D30">
        <v>90</v>
      </c>
    </row>
    <row r="31" spans="1:4" x14ac:dyDescent="0.3">
      <c r="A31" s="20">
        <v>9789359422701</v>
      </c>
      <c r="B31" t="s">
        <v>141</v>
      </c>
      <c r="C31">
        <v>4</v>
      </c>
      <c r="D31">
        <v>550</v>
      </c>
    </row>
    <row r="32" spans="1:4" x14ac:dyDescent="0.3">
      <c r="A32" s="20">
        <v>9789359429281</v>
      </c>
      <c r="B32" t="s">
        <v>145</v>
      </c>
      <c r="C32">
        <v>4</v>
      </c>
      <c r="D32">
        <v>600</v>
      </c>
    </row>
    <row r="33" spans="1:4" x14ac:dyDescent="0.3">
      <c r="A33" s="20">
        <v>9789359423685</v>
      </c>
      <c r="B33" t="s">
        <v>149</v>
      </c>
      <c r="C33">
        <v>1</v>
      </c>
      <c r="D33">
        <v>200</v>
      </c>
    </row>
    <row r="34" spans="1:4" x14ac:dyDescent="0.3">
      <c r="A34" s="20">
        <v>9788199053571</v>
      </c>
      <c r="B34" t="s">
        <v>153</v>
      </c>
      <c r="C34">
        <v>2</v>
      </c>
      <c r="D34">
        <v>170</v>
      </c>
    </row>
    <row r="35" spans="1:4" x14ac:dyDescent="0.3">
      <c r="A35" s="20">
        <v>9789356958029</v>
      </c>
      <c r="B35" t="s">
        <v>155</v>
      </c>
      <c r="C35">
        <v>1</v>
      </c>
      <c r="D35">
        <v>210</v>
      </c>
    </row>
    <row r="36" spans="1:4" x14ac:dyDescent="0.3">
      <c r="A36" s="20">
        <v>9789356958333</v>
      </c>
      <c r="B36" t="s">
        <v>157</v>
      </c>
      <c r="C36">
        <v>2</v>
      </c>
      <c r="D36">
        <v>150</v>
      </c>
    </row>
    <row r="37" spans="1:4" x14ac:dyDescent="0.3">
      <c r="A37" s="20">
        <v>9789356958036</v>
      </c>
      <c r="B37" t="s">
        <v>159</v>
      </c>
      <c r="C37">
        <v>1</v>
      </c>
      <c r="D37">
        <v>170</v>
      </c>
    </row>
    <row r="38" spans="1:4" x14ac:dyDescent="0.3">
      <c r="A38" s="20">
        <v>9789356957916</v>
      </c>
      <c r="B38" t="s">
        <v>163</v>
      </c>
      <c r="C38">
        <v>1</v>
      </c>
      <c r="D38">
        <v>140</v>
      </c>
    </row>
    <row r="39" spans="1:4" x14ac:dyDescent="0.3">
      <c r="A39" s="20">
        <v>9789359429120</v>
      </c>
      <c r="B39" t="s">
        <v>165</v>
      </c>
      <c r="C39">
        <v>1</v>
      </c>
      <c r="D39">
        <v>150</v>
      </c>
    </row>
    <row r="40" spans="1:4" x14ac:dyDescent="0.3">
      <c r="A40" s="20">
        <v>9789356958340</v>
      </c>
      <c r="B40" t="s">
        <v>169</v>
      </c>
      <c r="C40">
        <v>1</v>
      </c>
      <c r="D40">
        <v>150</v>
      </c>
    </row>
    <row r="41" spans="1:4" x14ac:dyDescent="0.3">
      <c r="A41" s="20">
        <v>9789356957947</v>
      </c>
      <c r="B41" t="s">
        <v>175</v>
      </c>
      <c r="C41">
        <v>1</v>
      </c>
      <c r="D41">
        <v>120</v>
      </c>
    </row>
    <row r="42" spans="1:4" x14ac:dyDescent="0.3">
      <c r="A42" s="20">
        <v>9789356958326</v>
      </c>
      <c r="B42" t="s">
        <v>179</v>
      </c>
      <c r="C42">
        <v>2</v>
      </c>
      <c r="D42">
        <v>160</v>
      </c>
    </row>
    <row r="43" spans="1:4" x14ac:dyDescent="0.3">
      <c r="A43" s="20">
        <v>9789359426129</v>
      </c>
      <c r="B43" t="s">
        <v>183</v>
      </c>
      <c r="C43">
        <v>2</v>
      </c>
      <c r="D43">
        <v>180</v>
      </c>
    </row>
    <row r="44" spans="1:4" x14ac:dyDescent="0.3">
      <c r="A44" s="20">
        <v>9789359428185</v>
      </c>
      <c r="B44" t="s">
        <v>189</v>
      </c>
      <c r="C44">
        <v>2</v>
      </c>
      <c r="D44">
        <v>220</v>
      </c>
    </row>
    <row r="45" spans="1:4" x14ac:dyDescent="0.3">
      <c r="A45" s="20">
        <v>9789359429915</v>
      </c>
      <c r="B45" t="s">
        <v>195</v>
      </c>
      <c r="C45">
        <v>1</v>
      </c>
      <c r="D45">
        <v>400</v>
      </c>
    </row>
    <row r="46" spans="1:4" x14ac:dyDescent="0.3">
      <c r="A46" s="20">
        <v>9789359427225</v>
      </c>
      <c r="B46" t="s">
        <v>197</v>
      </c>
      <c r="C46">
        <v>2</v>
      </c>
      <c r="D46">
        <v>160</v>
      </c>
    </row>
    <row r="47" spans="1:4" x14ac:dyDescent="0.3">
      <c r="A47" s="20">
        <v>9789359428529</v>
      </c>
      <c r="B47" t="s">
        <v>199</v>
      </c>
      <c r="C47">
        <v>2</v>
      </c>
      <c r="D47">
        <v>140</v>
      </c>
    </row>
    <row r="48" spans="1:4" x14ac:dyDescent="0.3">
      <c r="A48" s="20">
        <v>9789359423388</v>
      </c>
      <c r="B48" t="s">
        <v>201</v>
      </c>
      <c r="C48">
        <v>2</v>
      </c>
      <c r="D48">
        <v>170</v>
      </c>
    </row>
    <row r="49" spans="1:4" x14ac:dyDescent="0.3">
      <c r="A49" s="20">
        <v>9789359427560</v>
      </c>
      <c r="B49" t="s">
        <v>203</v>
      </c>
      <c r="C49">
        <v>2</v>
      </c>
      <c r="D49">
        <v>320</v>
      </c>
    </row>
    <row r="50" spans="1:4" x14ac:dyDescent="0.3">
      <c r="A50" s="20">
        <v>9789359427942</v>
      </c>
      <c r="B50" t="s">
        <v>205</v>
      </c>
      <c r="C50">
        <v>2</v>
      </c>
      <c r="D50">
        <v>190</v>
      </c>
    </row>
    <row r="51" spans="1:4" x14ac:dyDescent="0.3">
      <c r="A51" s="20">
        <v>9789359429854</v>
      </c>
      <c r="B51" t="s">
        <v>207</v>
      </c>
      <c r="C51">
        <v>2</v>
      </c>
      <c r="D51">
        <v>140</v>
      </c>
    </row>
    <row r="52" spans="1:4" x14ac:dyDescent="0.3">
      <c r="A52" s="20">
        <v>9789359423845</v>
      </c>
      <c r="B52" t="s">
        <v>209</v>
      </c>
      <c r="C52">
        <v>1</v>
      </c>
      <c r="D52">
        <v>180</v>
      </c>
    </row>
    <row r="53" spans="1:4" x14ac:dyDescent="0.3">
      <c r="A53" s="20">
        <v>9789348658326</v>
      </c>
      <c r="B53" t="s">
        <v>211</v>
      </c>
      <c r="C53">
        <v>1</v>
      </c>
      <c r="D53">
        <v>110</v>
      </c>
    </row>
    <row r="54" spans="1:4" x14ac:dyDescent="0.3">
      <c r="A54" s="20">
        <v>9788199133860</v>
      </c>
      <c r="B54" t="s">
        <v>217</v>
      </c>
      <c r="C54">
        <v>1</v>
      </c>
      <c r="D54">
        <v>240</v>
      </c>
    </row>
    <row r="55" spans="1:4" x14ac:dyDescent="0.3">
      <c r="A55" s="20">
        <v>9789395686129</v>
      </c>
      <c r="B55" t="s">
        <v>221</v>
      </c>
      <c r="C55">
        <v>12</v>
      </c>
      <c r="D55">
        <v>190</v>
      </c>
    </row>
    <row r="56" spans="1:4" x14ac:dyDescent="0.3">
      <c r="A56" s="20">
        <v>9789395686112</v>
      </c>
      <c r="B56" t="s">
        <v>224</v>
      </c>
      <c r="C56">
        <v>12</v>
      </c>
      <c r="D56">
        <v>120</v>
      </c>
    </row>
    <row r="57" spans="1:4" x14ac:dyDescent="0.3">
      <c r="A57" s="20">
        <v>9789395686143</v>
      </c>
      <c r="B57" t="s">
        <v>226</v>
      </c>
      <c r="C57">
        <v>8</v>
      </c>
      <c r="D57">
        <v>80</v>
      </c>
    </row>
    <row r="58" spans="1:4" x14ac:dyDescent="0.3">
      <c r="A58" s="20">
        <v>9789395686105</v>
      </c>
      <c r="B58" t="s">
        <v>228</v>
      </c>
      <c r="C58">
        <v>4</v>
      </c>
      <c r="D58">
        <v>200</v>
      </c>
    </row>
    <row r="59" spans="1:4" x14ac:dyDescent="0.3">
      <c r="A59" s="20">
        <v>9789395686136</v>
      </c>
      <c r="B59" t="s">
        <v>230</v>
      </c>
      <c r="C59">
        <v>12</v>
      </c>
      <c r="D59">
        <v>170</v>
      </c>
    </row>
    <row r="60" spans="1:4" x14ac:dyDescent="0.3">
      <c r="A60" s="20">
        <v>9789348138323</v>
      </c>
      <c r="B60" t="s">
        <v>232</v>
      </c>
      <c r="C60">
        <v>10</v>
      </c>
      <c r="D60">
        <v>150</v>
      </c>
    </row>
    <row r="61" spans="1:4" x14ac:dyDescent="0.3">
      <c r="A61" s="20">
        <v>9789359425627</v>
      </c>
      <c r="B61" t="s">
        <v>244</v>
      </c>
      <c r="C61">
        <v>1</v>
      </c>
      <c r="D61">
        <v>710</v>
      </c>
    </row>
    <row r="62" spans="1:4" x14ac:dyDescent="0.3">
      <c r="A62" s="20">
        <v>9789359423876</v>
      </c>
      <c r="B62" t="s">
        <v>246</v>
      </c>
      <c r="C62">
        <v>1</v>
      </c>
      <c r="D62">
        <v>780</v>
      </c>
    </row>
    <row r="63" spans="1:4" x14ac:dyDescent="0.3">
      <c r="A63" s="20">
        <v>9788199133891</v>
      </c>
      <c r="B63" t="s">
        <v>248</v>
      </c>
      <c r="C63">
        <v>1</v>
      </c>
      <c r="D63">
        <v>230</v>
      </c>
    </row>
    <row r="64" spans="1:4" x14ac:dyDescent="0.3">
      <c r="A64" s="20">
        <v>9789390102075</v>
      </c>
      <c r="B64" t="s">
        <v>268</v>
      </c>
      <c r="C64">
        <v>2</v>
      </c>
      <c r="D64">
        <v>370</v>
      </c>
    </row>
    <row r="65" spans="1:4" x14ac:dyDescent="0.3">
      <c r="A65" s="20">
        <v>9789390102488</v>
      </c>
      <c r="B65" t="s">
        <v>279</v>
      </c>
      <c r="C65">
        <v>1</v>
      </c>
      <c r="D65">
        <v>140</v>
      </c>
    </row>
    <row r="66" spans="1:4" x14ac:dyDescent="0.3">
      <c r="A66" s="20">
        <v>9789359428482</v>
      </c>
      <c r="B66" t="s">
        <v>289</v>
      </c>
      <c r="C66">
        <v>1</v>
      </c>
      <c r="D66">
        <v>120</v>
      </c>
    </row>
    <row r="67" spans="1:4" x14ac:dyDescent="0.3">
      <c r="A67" s="20">
        <v>9788199074835</v>
      </c>
      <c r="B67" t="s">
        <v>293</v>
      </c>
      <c r="C67">
        <v>1</v>
      </c>
      <c r="D67">
        <v>210</v>
      </c>
    </row>
    <row r="68" spans="1:4" x14ac:dyDescent="0.3">
      <c r="A68" s="20">
        <v>9788119478286</v>
      </c>
      <c r="B68" t="s">
        <v>303</v>
      </c>
      <c r="C68">
        <v>1</v>
      </c>
      <c r="D68">
        <v>140</v>
      </c>
    </row>
    <row r="69" spans="1:4" x14ac:dyDescent="0.3">
      <c r="A69" s="20">
        <v>9789359426440</v>
      </c>
      <c r="B69" t="s">
        <v>331</v>
      </c>
      <c r="C69">
        <v>1</v>
      </c>
      <c r="D69">
        <v>150</v>
      </c>
    </row>
    <row r="70" spans="1:4" x14ac:dyDescent="0.3">
      <c r="A70" s="20">
        <v>9789394505742</v>
      </c>
      <c r="B70" t="s">
        <v>333</v>
      </c>
      <c r="C70">
        <v>1</v>
      </c>
      <c r="D70">
        <v>370</v>
      </c>
    </row>
    <row r="71" spans="1:4" x14ac:dyDescent="0.3">
      <c r="A71" s="20">
        <v>9789394505773</v>
      </c>
      <c r="B71" t="s">
        <v>335</v>
      </c>
      <c r="C71">
        <v>1</v>
      </c>
      <c r="D71">
        <v>460</v>
      </c>
    </row>
    <row r="72" spans="1:4" x14ac:dyDescent="0.3">
      <c r="A72" s="20">
        <v>9789390102143</v>
      </c>
      <c r="B72" t="s">
        <v>337</v>
      </c>
      <c r="C72">
        <v>1</v>
      </c>
      <c r="D72">
        <v>90</v>
      </c>
    </row>
    <row r="73" spans="1:4" x14ac:dyDescent="0.3">
      <c r="A73" s="20">
        <v>9788199002074</v>
      </c>
      <c r="B73" t="s">
        <v>339</v>
      </c>
      <c r="C73">
        <v>2</v>
      </c>
      <c r="D73">
        <v>80</v>
      </c>
    </row>
    <row r="74" spans="1:4" x14ac:dyDescent="0.3">
      <c r="A74" s="20">
        <v>9789395643221</v>
      </c>
      <c r="B74" t="s">
        <v>343</v>
      </c>
      <c r="C74">
        <v>1</v>
      </c>
      <c r="D74">
        <v>340</v>
      </c>
    </row>
    <row r="75" spans="1:4" x14ac:dyDescent="0.3">
      <c r="A75" s="20">
        <v>9789395301183</v>
      </c>
      <c r="B75" t="s">
        <v>347</v>
      </c>
      <c r="C75">
        <v>1</v>
      </c>
      <c r="D75">
        <v>210</v>
      </c>
    </row>
    <row r="76" spans="1:4" x14ac:dyDescent="0.3">
      <c r="A76" s="20">
        <v>9789395277563</v>
      </c>
      <c r="B76" t="s">
        <v>349</v>
      </c>
      <c r="C76">
        <v>1</v>
      </c>
      <c r="D76">
        <v>280</v>
      </c>
    </row>
    <row r="77" spans="1:4" x14ac:dyDescent="0.3">
      <c r="A77" s="20">
        <v>9789395441384</v>
      </c>
      <c r="B77" t="s">
        <v>385</v>
      </c>
      <c r="C77">
        <v>1</v>
      </c>
      <c r="D77">
        <v>120</v>
      </c>
    </row>
    <row r="78" spans="1:4" x14ac:dyDescent="0.3">
      <c r="A78" s="20">
        <v>9789359424187</v>
      </c>
      <c r="B78" t="s">
        <v>387</v>
      </c>
      <c r="C78">
        <v>1</v>
      </c>
      <c r="D78">
        <v>120</v>
      </c>
    </row>
    <row r="79" spans="1:4" x14ac:dyDescent="0.3">
      <c r="A79" s="20">
        <v>9789395598477</v>
      </c>
      <c r="B79" t="s">
        <v>397</v>
      </c>
      <c r="C79">
        <v>1</v>
      </c>
      <c r="D79">
        <v>250</v>
      </c>
    </row>
    <row r="80" spans="1:4" x14ac:dyDescent="0.3">
      <c r="A80" s="20">
        <v>9788199002081</v>
      </c>
      <c r="B80" t="s">
        <v>420</v>
      </c>
      <c r="C80">
        <v>1</v>
      </c>
      <c r="D80">
        <v>100</v>
      </c>
    </row>
    <row r="81" spans="1:4" x14ac:dyDescent="0.3">
      <c r="A81" s="20">
        <v>9789359423302</v>
      </c>
      <c r="B81" t="s">
        <v>444</v>
      </c>
      <c r="C81">
        <v>2</v>
      </c>
      <c r="D81">
        <v>110</v>
      </c>
    </row>
    <row r="82" spans="1:4" x14ac:dyDescent="0.3">
      <c r="A82" s="20">
        <v>9789349330283</v>
      </c>
      <c r="B82" t="s">
        <v>448</v>
      </c>
      <c r="C82">
        <v>2</v>
      </c>
      <c r="D82">
        <v>100</v>
      </c>
    </row>
    <row r="83" spans="1:4" x14ac:dyDescent="0.3">
      <c r="A83" s="20">
        <v>9788119166978</v>
      </c>
      <c r="B83" t="s">
        <v>451</v>
      </c>
      <c r="C83">
        <v>2</v>
      </c>
      <c r="D83">
        <v>110</v>
      </c>
    </row>
    <row r="84" spans="1:4" x14ac:dyDescent="0.3">
      <c r="A84" s="20">
        <v>9788119166893</v>
      </c>
      <c r="B84" t="s">
        <v>453</v>
      </c>
      <c r="C84">
        <v>2</v>
      </c>
      <c r="D84">
        <v>120</v>
      </c>
    </row>
    <row r="85" spans="1:4" x14ac:dyDescent="0.3">
      <c r="A85" s="20">
        <v>9789356957114</v>
      </c>
      <c r="B85" t="s">
        <v>482</v>
      </c>
      <c r="C85">
        <v>1</v>
      </c>
      <c r="D85">
        <v>190</v>
      </c>
    </row>
    <row r="86" spans="1:4" x14ac:dyDescent="0.3">
      <c r="A86" s="20">
        <v>9789356957138</v>
      </c>
      <c r="B86" t="s">
        <v>484</v>
      </c>
      <c r="C86">
        <v>1</v>
      </c>
      <c r="D86">
        <v>100</v>
      </c>
    </row>
    <row r="87" spans="1:4" x14ac:dyDescent="0.3">
      <c r="A87" s="20">
        <v>9789356957107</v>
      </c>
      <c r="B87" t="s">
        <v>488</v>
      </c>
      <c r="C87">
        <v>2</v>
      </c>
      <c r="D87">
        <v>80</v>
      </c>
    </row>
    <row r="88" spans="1:4" x14ac:dyDescent="0.3">
      <c r="A88" s="20">
        <v>9789356957169</v>
      </c>
      <c r="B88" t="s">
        <v>490</v>
      </c>
      <c r="C88">
        <v>1</v>
      </c>
      <c r="D88">
        <v>130</v>
      </c>
    </row>
    <row r="89" spans="1:4" x14ac:dyDescent="0.3">
      <c r="A89" s="20">
        <v>9789359428246</v>
      </c>
      <c r="B89" t="s">
        <v>495</v>
      </c>
      <c r="C89">
        <v>1</v>
      </c>
      <c r="D89">
        <v>160</v>
      </c>
    </row>
    <row r="90" spans="1:4" x14ac:dyDescent="0.3">
      <c r="A90" s="20">
        <v>9789359425351</v>
      </c>
      <c r="B90" t="s">
        <v>499</v>
      </c>
      <c r="C90">
        <v>2</v>
      </c>
      <c r="D90">
        <v>110</v>
      </c>
    </row>
    <row r="91" spans="1:4" x14ac:dyDescent="0.3">
      <c r="A91" s="20">
        <v>9789395301404</v>
      </c>
      <c r="B91" t="s">
        <v>556</v>
      </c>
      <c r="C91">
        <v>1</v>
      </c>
      <c r="D91">
        <v>170</v>
      </c>
    </row>
    <row r="92" spans="1:4" x14ac:dyDescent="0.3">
      <c r="A92" s="20">
        <v>9789394758544</v>
      </c>
      <c r="B92" t="s">
        <v>564</v>
      </c>
      <c r="C92">
        <v>2</v>
      </c>
      <c r="D92">
        <v>270</v>
      </c>
    </row>
    <row r="93" spans="1:4" x14ac:dyDescent="0.3">
      <c r="A93" s="20">
        <v>9789356959026</v>
      </c>
      <c r="B93" t="s">
        <v>568</v>
      </c>
      <c r="C93">
        <v>2</v>
      </c>
      <c r="D93">
        <v>310</v>
      </c>
    </row>
    <row r="94" spans="1:4" x14ac:dyDescent="0.3">
      <c r="A94" s="20">
        <v>9789395441018</v>
      </c>
      <c r="B94" t="s">
        <v>574</v>
      </c>
      <c r="C94">
        <v>1</v>
      </c>
      <c r="D94">
        <v>270</v>
      </c>
    </row>
    <row r="95" spans="1:4" x14ac:dyDescent="0.3">
      <c r="A95" s="20">
        <v>9789394758346</v>
      </c>
      <c r="B95" t="s">
        <v>594</v>
      </c>
      <c r="C95">
        <v>2</v>
      </c>
      <c r="D95">
        <v>230</v>
      </c>
    </row>
    <row r="96" spans="1:4" x14ac:dyDescent="0.3">
      <c r="A96" s="20">
        <v>9789395686037</v>
      </c>
      <c r="B96" t="s">
        <v>597</v>
      </c>
      <c r="C96">
        <v>1</v>
      </c>
      <c r="D96">
        <v>100</v>
      </c>
    </row>
    <row r="97" spans="1:4" x14ac:dyDescent="0.3">
      <c r="A97" s="20">
        <v>9789395598439</v>
      </c>
      <c r="B97" t="s">
        <v>599</v>
      </c>
      <c r="C97">
        <v>1</v>
      </c>
      <c r="D97">
        <v>250</v>
      </c>
    </row>
    <row r="98" spans="1:4" x14ac:dyDescent="0.3">
      <c r="A98" s="20">
        <v>9789395301473</v>
      </c>
      <c r="B98" t="s">
        <v>605</v>
      </c>
      <c r="C98">
        <v>2</v>
      </c>
      <c r="D98">
        <v>110</v>
      </c>
    </row>
    <row r="99" spans="1:4" x14ac:dyDescent="0.3">
      <c r="A99" s="20">
        <v>9789395686044</v>
      </c>
      <c r="B99" t="s">
        <v>607</v>
      </c>
      <c r="C99">
        <v>2</v>
      </c>
      <c r="D99">
        <v>80</v>
      </c>
    </row>
    <row r="100" spans="1:4" x14ac:dyDescent="0.3">
      <c r="A100" s="20">
        <v>9789359421957</v>
      </c>
      <c r="B100" t="s">
        <v>611</v>
      </c>
      <c r="C100">
        <v>1</v>
      </c>
      <c r="D100">
        <v>150</v>
      </c>
    </row>
    <row r="101" spans="1:4" x14ac:dyDescent="0.3">
      <c r="A101" s="20">
        <v>9789394758537</v>
      </c>
      <c r="B101" t="s">
        <v>613</v>
      </c>
      <c r="C101">
        <v>2</v>
      </c>
      <c r="D101">
        <v>150</v>
      </c>
    </row>
    <row r="102" spans="1:4" x14ac:dyDescent="0.3">
      <c r="A102" s="20">
        <v>9789395301435</v>
      </c>
      <c r="B102" t="s">
        <v>615</v>
      </c>
      <c r="C102">
        <v>1</v>
      </c>
      <c r="D102">
        <v>140</v>
      </c>
    </row>
    <row r="103" spans="1:4" x14ac:dyDescent="0.3">
      <c r="A103" s="20">
        <v>9789395301527</v>
      </c>
      <c r="B103" t="s">
        <v>617</v>
      </c>
      <c r="C103">
        <v>1</v>
      </c>
      <c r="D103">
        <v>340</v>
      </c>
    </row>
    <row r="104" spans="1:4" x14ac:dyDescent="0.3">
      <c r="A104" s="20">
        <v>9789394758261</v>
      </c>
      <c r="B104" t="s">
        <v>619</v>
      </c>
      <c r="C104">
        <v>1</v>
      </c>
      <c r="D104">
        <v>200</v>
      </c>
    </row>
    <row r="105" spans="1:4" x14ac:dyDescent="0.3">
      <c r="A105" s="20">
        <v>9789356956520</v>
      </c>
      <c r="B105" t="s">
        <v>621</v>
      </c>
      <c r="C105">
        <v>1</v>
      </c>
      <c r="D105">
        <v>420</v>
      </c>
    </row>
    <row r="106" spans="1:4" x14ac:dyDescent="0.3">
      <c r="A106" s="20">
        <v>9789356956407</v>
      </c>
      <c r="B106" t="s">
        <v>624</v>
      </c>
      <c r="C106">
        <v>1</v>
      </c>
      <c r="D106">
        <v>360</v>
      </c>
    </row>
    <row r="107" spans="1:4" x14ac:dyDescent="0.3">
      <c r="A107" s="20">
        <v>9789348658982</v>
      </c>
      <c r="B107" t="s">
        <v>626</v>
      </c>
      <c r="C107">
        <v>3</v>
      </c>
      <c r="D107">
        <v>110</v>
      </c>
    </row>
    <row r="108" spans="1:4" x14ac:dyDescent="0.3">
      <c r="A108" s="20">
        <v>9789356956513</v>
      </c>
      <c r="B108" t="s">
        <v>628</v>
      </c>
      <c r="C108">
        <v>3</v>
      </c>
      <c r="D108">
        <v>340</v>
      </c>
    </row>
    <row r="109" spans="1:4" x14ac:dyDescent="0.3">
      <c r="A109" s="20">
        <v>9789356956490</v>
      </c>
      <c r="B109" t="s">
        <v>630</v>
      </c>
      <c r="C109">
        <v>2</v>
      </c>
      <c r="D109">
        <v>580</v>
      </c>
    </row>
    <row r="110" spans="1:4" x14ac:dyDescent="0.3">
      <c r="A110" s="20">
        <v>9789356956360</v>
      </c>
      <c r="B110" t="s">
        <v>632</v>
      </c>
      <c r="C110">
        <v>4</v>
      </c>
      <c r="D110">
        <v>340</v>
      </c>
    </row>
    <row r="111" spans="1:4" x14ac:dyDescent="0.3">
      <c r="A111" s="20">
        <v>9789356956506</v>
      </c>
      <c r="B111" t="s">
        <v>634</v>
      </c>
      <c r="C111">
        <v>1</v>
      </c>
      <c r="D111">
        <v>290</v>
      </c>
    </row>
    <row r="112" spans="1:4" x14ac:dyDescent="0.3">
      <c r="A112" s="20">
        <v>9789348658371</v>
      </c>
      <c r="B112" t="s">
        <v>636</v>
      </c>
      <c r="C112">
        <v>4</v>
      </c>
      <c r="D112">
        <v>100</v>
      </c>
    </row>
    <row r="113" spans="1:4" x14ac:dyDescent="0.3">
      <c r="A113" s="20">
        <v>9789348658531</v>
      </c>
      <c r="B113" t="s">
        <v>638</v>
      </c>
      <c r="C113">
        <v>1</v>
      </c>
      <c r="D113">
        <v>110</v>
      </c>
    </row>
    <row r="114" spans="1:4" x14ac:dyDescent="0.3">
      <c r="A114" s="20">
        <v>9789348658869</v>
      </c>
      <c r="B114" t="s">
        <v>640</v>
      </c>
      <c r="C114">
        <v>4</v>
      </c>
      <c r="D114">
        <v>150</v>
      </c>
    </row>
    <row r="115" spans="1:4" x14ac:dyDescent="0.3">
      <c r="A115" s="20">
        <v>9789356956353</v>
      </c>
      <c r="B115" t="s">
        <v>642</v>
      </c>
      <c r="C115">
        <v>3</v>
      </c>
      <c r="D115">
        <v>340</v>
      </c>
    </row>
    <row r="116" spans="1:4" x14ac:dyDescent="0.3">
      <c r="A116" s="20">
        <v>9789356956346</v>
      </c>
      <c r="B116" t="s">
        <v>644</v>
      </c>
      <c r="C116">
        <v>2</v>
      </c>
      <c r="D116">
        <v>360</v>
      </c>
    </row>
    <row r="117" spans="1:4" x14ac:dyDescent="0.3">
      <c r="A117" s="20">
        <v>9789348658937</v>
      </c>
      <c r="B117" t="s">
        <v>646</v>
      </c>
      <c r="C117">
        <v>4</v>
      </c>
      <c r="D117">
        <v>110</v>
      </c>
    </row>
    <row r="118" spans="1:4" x14ac:dyDescent="0.3">
      <c r="A118" s="20">
        <v>9789356956537</v>
      </c>
      <c r="B118" t="s">
        <v>648</v>
      </c>
      <c r="C118">
        <v>1</v>
      </c>
      <c r="D118">
        <v>300</v>
      </c>
    </row>
    <row r="119" spans="1:4" x14ac:dyDescent="0.3">
      <c r="A119" s="20">
        <v>9789356956384</v>
      </c>
      <c r="B119" t="s">
        <v>650</v>
      </c>
      <c r="C119">
        <v>2</v>
      </c>
      <c r="D119">
        <v>510</v>
      </c>
    </row>
    <row r="120" spans="1:4" x14ac:dyDescent="0.3">
      <c r="A120" s="20">
        <v>9789356956377</v>
      </c>
      <c r="B120" t="s">
        <v>652</v>
      </c>
      <c r="C120">
        <v>1</v>
      </c>
      <c r="D120">
        <v>520</v>
      </c>
    </row>
    <row r="121" spans="1:4" x14ac:dyDescent="0.3">
      <c r="A121" s="20">
        <v>9789356956544</v>
      </c>
      <c r="B121" t="s">
        <v>654</v>
      </c>
      <c r="C121">
        <v>1</v>
      </c>
      <c r="D121">
        <v>550</v>
      </c>
    </row>
    <row r="122" spans="1:4" x14ac:dyDescent="0.3">
      <c r="A122" s="20">
        <v>9789356956551</v>
      </c>
      <c r="B122" t="s">
        <v>656</v>
      </c>
      <c r="C122">
        <v>4</v>
      </c>
      <c r="D122">
        <v>550</v>
      </c>
    </row>
    <row r="123" spans="1:4" x14ac:dyDescent="0.3">
      <c r="A123" s="20">
        <v>9789348658678</v>
      </c>
      <c r="B123" t="s">
        <v>658</v>
      </c>
      <c r="C123">
        <v>3</v>
      </c>
      <c r="D123">
        <v>120</v>
      </c>
    </row>
    <row r="124" spans="1:4" x14ac:dyDescent="0.3">
      <c r="A124" s="20">
        <v>9789348658302</v>
      </c>
      <c r="B124" t="s">
        <v>660</v>
      </c>
      <c r="C124">
        <v>4</v>
      </c>
      <c r="D124">
        <v>110</v>
      </c>
    </row>
    <row r="125" spans="1:4" x14ac:dyDescent="0.3">
      <c r="A125" s="20">
        <v>9789356956391</v>
      </c>
      <c r="B125" t="s">
        <v>662</v>
      </c>
      <c r="C125">
        <v>4</v>
      </c>
      <c r="D125">
        <v>240</v>
      </c>
    </row>
    <row r="126" spans="1:4" x14ac:dyDescent="0.3">
      <c r="A126" s="20">
        <v>9789359427690</v>
      </c>
      <c r="B126" t="s">
        <v>664</v>
      </c>
      <c r="C126">
        <v>2</v>
      </c>
      <c r="D126">
        <v>200</v>
      </c>
    </row>
    <row r="127" spans="1:4" x14ac:dyDescent="0.3">
      <c r="A127" s="20">
        <v>9789348658319</v>
      </c>
      <c r="B127" t="s">
        <v>685</v>
      </c>
      <c r="C127">
        <v>1</v>
      </c>
      <c r="D127">
        <v>270</v>
      </c>
    </row>
    <row r="128" spans="1:4" x14ac:dyDescent="0.3">
      <c r="A128" s="20">
        <v>9789356958364</v>
      </c>
      <c r="B128" t="s">
        <v>695</v>
      </c>
      <c r="C128">
        <v>1</v>
      </c>
      <c r="D128">
        <v>350</v>
      </c>
    </row>
    <row r="129" spans="1:4" x14ac:dyDescent="0.3">
      <c r="A129" s="20">
        <v>9789348138446</v>
      </c>
      <c r="B129" t="s">
        <v>702</v>
      </c>
      <c r="C129">
        <v>1</v>
      </c>
      <c r="D129">
        <v>120</v>
      </c>
    </row>
    <row r="130" spans="1:4" x14ac:dyDescent="0.3">
      <c r="A130" s="20">
        <v>9788119257683</v>
      </c>
      <c r="B130" t="s">
        <v>706</v>
      </c>
      <c r="C130">
        <v>2</v>
      </c>
      <c r="D130">
        <v>120</v>
      </c>
    </row>
    <row r="131" spans="1:4" x14ac:dyDescent="0.3">
      <c r="A131" s="20">
        <v>9788119257676</v>
      </c>
      <c r="B131" t="s">
        <v>708</v>
      </c>
      <c r="C131">
        <v>1</v>
      </c>
      <c r="D131">
        <v>100</v>
      </c>
    </row>
    <row r="132" spans="1:4" x14ac:dyDescent="0.3">
      <c r="A132" s="20">
        <v>9789359422879</v>
      </c>
      <c r="B132" t="s">
        <v>713</v>
      </c>
      <c r="C132">
        <v>1</v>
      </c>
      <c r="D132">
        <v>80</v>
      </c>
    </row>
    <row r="133" spans="1:4" x14ac:dyDescent="0.3">
      <c r="A133" s="20">
        <v>9789359429731</v>
      </c>
      <c r="B133" t="s">
        <v>715</v>
      </c>
      <c r="C133">
        <v>1</v>
      </c>
      <c r="D133">
        <v>290</v>
      </c>
    </row>
    <row r="134" spans="1:4" x14ac:dyDescent="0.3">
      <c r="A134" s="20">
        <v>9789356957329</v>
      </c>
      <c r="B134" t="s">
        <v>725</v>
      </c>
      <c r="C134">
        <v>2</v>
      </c>
      <c r="D134">
        <v>330</v>
      </c>
    </row>
    <row r="135" spans="1:4" x14ac:dyDescent="0.3">
      <c r="A135" s="20">
        <v>9788119257331</v>
      </c>
      <c r="B135" t="s">
        <v>729</v>
      </c>
      <c r="C135">
        <v>1</v>
      </c>
      <c r="D135">
        <v>110</v>
      </c>
    </row>
    <row r="136" spans="1:4" x14ac:dyDescent="0.3">
      <c r="A136" s="20">
        <v>9788199234246</v>
      </c>
      <c r="B136" t="s">
        <v>731</v>
      </c>
      <c r="C136">
        <v>2</v>
      </c>
      <c r="D136">
        <v>90</v>
      </c>
    </row>
    <row r="137" spans="1:4" x14ac:dyDescent="0.3">
      <c r="A137" s="20">
        <v>9788199170117</v>
      </c>
      <c r="B137" t="s">
        <v>733</v>
      </c>
      <c r="C137">
        <v>2</v>
      </c>
      <c r="D137">
        <v>50</v>
      </c>
    </row>
    <row r="138" spans="1:4" x14ac:dyDescent="0.3">
      <c r="A138" s="20">
        <v>9788199337411</v>
      </c>
      <c r="B138" t="s">
        <v>737</v>
      </c>
      <c r="C138">
        <v>1</v>
      </c>
      <c r="D138">
        <v>110</v>
      </c>
    </row>
    <row r="139" spans="1:4" x14ac:dyDescent="0.3">
      <c r="A139" s="20">
        <v>9789390102846</v>
      </c>
      <c r="B139" t="s">
        <v>739</v>
      </c>
      <c r="C139">
        <v>1</v>
      </c>
      <c r="D139">
        <v>380</v>
      </c>
    </row>
    <row r="140" spans="1:4" x14ac:dyDescent="0.3">
      <c r="A140" s="20">
        <v>9789390102228</v>
      </c>
      <c r="B140" t="s">
        <v>741</v>
      </c>
      <c r="C140">
        <v>1</v>
      </c>
      <c r="D140">
        <v>310</v>
      </c>
    </row>
    <row r="141" spans="1:4" x14ac:dyDescent="0.3">
      <c r="A141" s="20">
        <v>9789390102624</v>
      </c>
      <c r="B141" t="s">
        <v>743</v>
      </c>
      <c r="C141">
        <v>2</v>
      </c>
      <c r="D141">
        <v>380</v>
      </c>
    </row>
    <row r="142" spans="1:4" x14ac:dyDescent="0.3">
      <c r="A142" s="20">
        <v>9788199292468</v>
      </c>
      <c r="B142" t="s">
        <v>745</v>
      </c>
      <c r="C142">
        <v>1</v>
      </c>
      <c r="D142">
        <v>440</v>
      </c>
    </row>
    <row r="143" spans="1:4" x14ac:dyDescent="0.3">
      <c r="A143" s="20">
        <v>9789390102518</v>
      </c>
      <c r="B143" t="s">
        <v>747</v>
      </c>
      <c r="C143">
        <v>1</v>
      </c>
      <c r="D143">
        <v>690</v>
      </c>
    </row>
    <row r="144" spans="1:4" x14ac:dyDescent="0.3">
      <c r="A144" s="20">
        <v>9788119257324</v>
      </c>
      <c r="B144" s="5" t="s">
        <v>749</v>
      </c>
      <c r="C144">
        <v>1</v>
      </c>
      <c r="D144">
        <v>180</v>
      </c>
    </row>
    <row r="145" spans="1:4" x14ac:dyDescent="0.3">
      <c r="A145" s="20">
        <v>9788119257461</v>
      </c>
      <c r="B145" t="s">
        <v>756</v>
      </c>
      <c r="C145">
        <v>2</v>
      </c>
      <c r="D145">
        <v>180</v>
      </c>
    </row>
    <row r="146" spans="1:4" x14ac:dyDescent="0.3">
      <c r="A146" s="20">
        <v>9789356954991</v>
      </c>
      <c r="B146" t="s">
        <v>770</v>
      </c>
      <c r="C146">
        <v>1</v>
      </c>
      <c r="D146">
        <v>200</v>
      </c>
    </row>
    <row r="147" spans="1:4" x14ac:dyDescent="0.3">
      <c r="A147" s="20">
        <v>9789395686402</v>
      </c>
      <c r="B147" t="s">
        <v>783</v>
      </c>
      <c r="C147">
        <v>2</v>
      </c>
      <c r="D147">
        <v>320</v>
      </c>
    </row>
    <row r="148" spans="1:4" x14ac:dyDescent="0.3">
      <c r="A148" s="20">
        <v>9789348970497</v>
      </c>
      <c r="B148" t="s">
        <v>818</v>
      </c>
      <c r="C148">
        <v>1</v>
      </c>
      <c r="D148">
        <v>150</v>
      </c>
    </row>
    <row r="149" spans="1:4" x14ac:dyDescent="0.3">
      <c r="A149" s="20">
        <v>9789348658630</v>
      </c>
      <c r="B149" t="s">
        <v>829</v>
      </c>
      <c r="C149">
        <v>1</v>
      </c>
      <c r="D149">
        <v>440</v>
      </c>
    </row>
    <row r="150" spans="1:4" x14ac:dyDescent="0.3">
      <c r="A150" s="20">
        <v>9789356957961</v>
      </c>
      <c r="B150" t="s">
        <v>838</v>
      </c>
      <c r="C150">
        <v>2</v>
      </c>
      <c r="D150">
        <v>280</v>
      </c>
    </row>
    <row r="151" spans="1:4" x14ac:dyDescent="0.3">
      <c r="A151" s="20">
        <v>9788119478002</v>
      </c>
      <c r="B151" t="s">
        <v>844</v>
      </c>
      <c r="C151">
        <v>2</v>
      </c>
      <c r="D151">
        <v>210</v>
      </c>
    </row>
    <row r="152" spans="1:4" x14ac:dyDescent="0.3">
      <c r="A152" s="20">
        <v>9789356957985</v>
      </c>
      <c r="B152" t="s">
        <v>846</v>
      </c>
      <c r="C152">
        <v>2</v>
      </c>
      <c r="D152">
        <v>340</v>
      </c>
    </row>
    <row r="153" spans="1:4" x14ac:dyDescent="0.3">
      <c r="A153" s="20">
        <v>9788197977626</v>
      </c>
      <c r="B153" t="s">
        <v>850</v>
      </c>
      <c r="C153">
        <v>1</v>
      </c>
      <c r="D153">
        <v>280</v>
      </c>
    </row>
    <row r="154" spans="1:4" x14ac:dyDescent="0.3">
      <c r="A154" s="20">
        <v>9789359428918</v>
      </c>
      <c r="B154" t="s">
        <v>852</v>
      </c>
      <c r="C154">
        <v>1</v>
      </c>
      <c r="D154">
        <v>300</v>
      </c>
    </row>
    <row r="155" spans="1:4" x14ac:dyDescent="0.3">
      <c r="A155" s="20">
        <v>9788197977695</v>
      </c>
      <c r="B155" t="s">
        <v>854</v>
      </c>
      <c r="C155">
        <v>1</v>
      </c>
      <c r="D155">
        <v>300</v>
      </c>
    </row>
    <row r="156" spans="1:4" x14ac:dyDescent="0.3">
      <c r="A156" s="20">
        <v>9789394922952</v>
      </c>
      <c r="B156" t="s">
        <v>856</v>
      </c>
      <c r="C156">
        <v>1</v>
      </c>
      <c r="D156">
        <v>130</v>
      </c>
    </row>
    <row r="157" spans="1:4" x14ac:dyDescent="0.3">
      <c r="A157" s="20">
        <v>9789394922433</v>
      </c>
      <c r="B157" t="s">
        <v>865</v>
      </c>
      <c r="C157">
        <v>1</v>
      </c>
      <c r="D157">
        <v>210</v>
      </c>
    </row>
    <row r="158" spans="1:4" x14ac:dyDescent="0.3">
      <c r="A158" s="20">
        <v>9789356951556</v>
      </c>
      <c r="B158" t="s">
        <v>876</v>
      </c>
      <c r="C158">
        <v>1</v>
      </c>
      <c r="D158">
        <v>160</v>
      </c>
    </row>
    <row r="159" spans="1:4" x14ac:dyDescent="0.3">
      <c r="A159" s="20">
        <v>9789348970022</v>
      </c>
      <c r="B159" t="s">
        <v>878</v>
      </c>
      <c r="C159">
        <v>1</v>
      </c>
      <c r="D159">
        <v>170</v>
      </c>
    </row>
    <row r="160" spans="1:4" x14ac:dyDescent="0.3">
      <c r="A160" s="20">
        <v>9789349679733</v>
      </c>
      <c r="B160" t="s">
        <v>880</v>
      </c>
      <c r="C160">
        <v>1</v>
      </c>
      <c r="D160">
        <v>160</v>
      </c>
    </row>
    <row r="161" spans="1:4" x14ac:dyDescent="0.3">
      <c r="A161" s="20">
        <v>9789395416313</v>
      </c>
      <c r="B161" t="s">
        <v>882</v>
      </c>
      <c r="C161">
        <v>1</v>
      </c>
      <c r="D161">
        <v>170</v>
      </c>
    </row>
    <row r="162" spans="1:4" x14ac:dyDescent="0.3">
      <c r="A162" s="20">
        <v>9789395598668</v>
      </c>
      <c r="B162" t="s">
        <v>890</v>
      </c>
      <c r="C162">
        <v>1</v>
      </c>
      <c r="D162">
        <v>110</v>
      </c>
    </row>
    <row r="163" spans="1:4" x14ac:dyDescent="0.3">
      <c r="A163" s="20">
        <v>9789395643740</v>
      </c>
      <c r="B163" t="s">
        <v>896</v>
      </c>
      <c r="C163">
        <v>1</v>
      </c>
      <c r="D163">
        <v>160</v>
      </c>
    </row>
    <row r="164" spans="1:4" x14ac:dyDescent="0.3">
      <c r="A164" s="20">
        <v>9789395248778</v>
      </c>
      <c r="B164" t="s">
        <v>906</v>
      </c>
      <c r="C164">
        <v>1</v>
      </c>
      <c r="D164">
        <v>100</v>
      </c>
    </row>
    <row r="165" spans="1:4" x14ac:dyDescent="0.3">
      <c r="A165" s="20">
        <v>9789395686501</v>
      </c>
      <c r="B165" t="s">
        <v>908</v>
      </c>
      <c r="C165">
        <v>2</v>
      </c>
      <c r="D165">
        <v>440</v>
      </c>
    </row>
    <row r="166" spans="1:4" x14ac:dyDescent="0.3">
      <c r="A166" s="20">
        <v>9789395643696</v>
      </c>
      <c r="B166" t="s">
        <v>918</v>
      </c>
      <c r="C166">
        <v>1</v>
      </c>
      <c r="D166">
        <v>150</v>
      </c>
    </row>
    <row r="167" spans="1:4" x14ac:dyDescent="0.3">
      <c r="A167" s="20">
        <v>9789395416283</v>
      </c>
      <c r="B167" t="s">
        <v>922</v>
      </c>
      <c r="C167">
        <v>1</v>
      </c>
      <c r="D167">
        <v>150</v>
      </c>
    </row>
    <row r="168" spans="1:4" x14ac:dyDescent="0.3">
      <c r="A168" s="20">
        <v>9789356955493</v>
      </c>
      <c r="B168" t="s">
        <v>934</v>
      </c>
      <c r="C168">
        <v>1</v>
      </c>
      <c r="D168">
        <v>400</v>
      </c>
    </row>
    <row r="169" spans="1:4" x14ac:dyDescent="0.3">
      <c r="A169" s="20">
        <v>9789395598644</v>
      </c>
      <c r="B169" t="s">
        <v>942</v>
      </c>
      <c r="C169">
        <v>1</v>
      </c>
      <c r="D169">
        <v>160</v>
      </c>
    </row>
    <row r="170" spans="1:4" x14ac:dyDescent="0.3">
      <c r="A170" s="20">
        <v>9789349679481</v>
      </c>
      <c r="B170" t="s">
        <v>944</v>
      </c>
      <c r="C170">
        <v>2</v>
      </c>
      <c r="D170">
        <v>320</v>
      </c>
    </row>
    <row r="171" spans="1:4" x14ac:dyDescent="0.3">
      <c r="A171" s="20">
        <v>9788197977602</v>
      </c>
      <c r="B171" t="s">
        <v>954</v>
      </c>
      <c r="C171">
        <v>1</v>
      </c>
      <c r="D171">
        <v>90</v>
      </c>
    </row>
    <row r="172" spans="1:4" x14ac:dyDescent="0.3">
      <c r="A172" s="20">
        <v>9789348970602</v>
      </c>
      <c r="B172" t="s">
        <v>956</v>
      </c>
      <c r="C172">
        <v>1</v>
      </c>
      <c r="D172">
        <v>470</v>
      </c>
    </row>
    <row r="173" spans="1:4" x14ac:dyDescent="0.3">
      <c r="A173" s="20">
        <v>9789395598736</v>
      </c>
      <c r="B173" t="s">
        <v>962</v>
      </c>
      <c r="C173">
        <v>2</v>
      </c>
      <c r="D173">
        <v>160</v>
      </c>
    </row>
    <row r="174" spans="1:4" x14ac:dyDescent="0.3">
      <c r="A174" s="20">
        <v>9788197977633</v>
      </c>
      <c r="B174" t="s">
        <v>964</v>
      </c>
      <c r="C174">
        <v>1</v>
      </c>
      <c r="D174">
        <v>400</v>
      </c>
    </row>
    <row r="175" spans="1:4" x14ac:dyDescent="0.3">
      <c r="A175" s="20">
        <v>9789395686471</v>
      </c>
      <c r="B175" t="s">
        <v>980</v>
      </c>
      <c r="C175">
        <v>1</v>
      </c>
      <c r="D175">
        <v>530</v>
      </c>
    </row>
    <row r="176" spans="1:4" x14ac:dyDescent="0.3">
      <c r="A176" s="20">
        <v>9789356951501</v>
      </c>
      <c r="B176" t="s">
        <v>988</v>
      </c>
      <c r="C176">
        <v>1</v>
      </c>
      <c r="D176">
        <v>160</v>
      </c>
    </row>
    <row r="177" spans="1:4" x14ac:dyDescent="0.3">
      <c r="A177" s="20">
        <v>9789359427614</v>
      </c>
      <c r="B177" t="s">
        <v>992</v>
      </c>
      <c r="C177">
        <v>1</v>
      </c>
      <c r="D177">
        <v>100</v>
      </c>
    </row>
    <row r="178" spans="1:4" x14ac:dyDescent="0.3">
      <c r="A178" s="20">
        <v>9789359422299</v>
      </c>
      <c r="B178" t="s">
        <v>994</v>
      </c>
      <c r="C178">
        <v>1</v>
      </c>
      <c r="D178">
        <v>130</v>
      </c>
    </row>
    <row r="179" spans="1:4" x14ac:dyDescent="0.3">
      <c r="A179" s="20">
        <v>9789359429366</v>
      </c>
      <c r="B179" t="s">
        <v>996</v>
      </c>
      <c r="C179">
        <v>2</v>
      </c>
      <c r="D179">
        <v>140</v>
      </c>
    </row>
    <row r="180" spans="1:4" x14ac:dyDescent="0.3">
      <c r="A180" s="20">
        <v>9789395416368</v>
      </c>
      <c r="B180" t="s">
        <v>1000</v>
      </c>
      <c r="C180">
        <v>2</v>
      </c>
      <c r="D180">
        <v>310</v>
      </c>
    </row>
    <row r="181" spans="1:4" x14ac:dyDescent="0.3">
      <c r="A181" s="20">
        <v>9789395643733</v>
      </c>
      <c r="B181" t="s">
        <v>1006</v>
      </c>
      <c r="C181">
        <v>1</v>
      </c>
      <c r="D181">
        <v>210</v>
      </c>
    </row>
    <row r="182" spans="1:4" x14ac:dyDescent="0.3">
      <c r="A182" s="20">
        <v>9789359427089</v>
      </c>
      <c r="B182" t="s">
        <v>1012</v>
      </c>
      <c r="C182">
        <v>1</v>
      </c>
      <c r="D182">
        <v>90</v>
      </c>
    </row>
    <row r="183" spans="1:4" x14ac:dyDescent="0.3">
      <c r="A183" s="20">
        <v>9789356951525</v>
      </c>
      <c r="B183" t="s">
        <v>1014</v>
      </c>
      <c r="C183">
        <v>1</v>
      </c>
      <c r="D183">
        <v>170</v>
      </c>
    </row>
    <row r="184" spans="1:4" x14ac:dyDescent="0.3">
      <c r="A184" s="20">
        <v>9789348970657</v>
      </c>
      <c r="B184" t="s">
        <v>1024</v>
      </c>
      <c r="C184">
        <v>1</v>
      </c>
      <c r="D184">
        <v>420</v>
      </c>
    </row>
    <row r="185" spans="1:4" x14ac:dyDescent="0.3">
      <c r="A185" s="20">
        <v>9788198857323</v>
      </c>
      <c r="B185" t="s">
        <v>1028</v>
      </c>
      <c r="C185">
        <v>2</v>
      </c>
      <c r="D185">
        <v>100</v>
      </c>
    </row>
    <row r="186" spans="1:4" x14ac:dyDescent="0.3">
      <c r="A186" s="20">
        <v>9789359428635</v>
      </c>
      <c r="B186" t="s">
        <v>1030</v>
      </c>
      <c r="C186">
        <v>1</v>
      </c>
      <c r="D186">
        <v>70</v>
      </c>
    </row>
    <row r="187" spans="1:4" x14ac:dyDescent="0.3">
      <c r="A187" s="20">
        <v>9789395301930</v>
      </c>
      <c r="B187" t="s">
        <v>1032</v>
      </c>
      <c r="C187">
        <v>1</v>
      </c>
      <c r="D187">
        <v>200</v>
      </c>
    </row>
    <row r="188" spans="1:4" x14ac:dyDescent="0.3">
      <c r="A188" s="20">
        <v>9789349679085</v>
      </c>
      <c r="B188" t="s">
        <v>1036</v>
      </c>
      <c r="C188">
        <v>2</v>
      </c>
      <c r="D188">
        <v>310</v>
      </c>
    </row>
    <row r="189" spans="1:4" x14ac:dyDescent="0.3">
      <c r="A189" s="20">
        <v>9789359423272</v>
      </c>
      <c r="B189" t="s">
        <v>1038</v>
      </c>
      <c r="C189">
        <v>1</v>
      </c>
      <c r="D189">
        <v>110</v>
      </c>
    </row>
    <row r="190" spans="1:4" x14ac:dyDescent="0.3">
      <c r="A190" s="20">
        <v>9789395416290</v>
      </c>
      <c r="B190" t="s">
        <v>1040</v>
      </c>
      <c r="C190">
        <v>1</v>
      </c>
      <c r="D190">
        <v>170</v>
      </c>
    </row>
    <row r="191" spans="1:4" x14ac:dyDescent="0.3">
      <c r="A191" s="20">
        <v>9789348970145</v>
      </c>
      <c r="B191" t="s">
        <v>1048</v>
      </c>
      <c r="C191">
        <v>2</v>
      </c>
      <c r="D191">
        <v>230</v>
      </c>
    </row>
    <row r="192" spans="1:4" x14ac:dyDescent="0.3">
      <c r="A192" s="20">
        <v>9789395248792</v>
      </c>
      <c r="B192" t="s">
        <v>1050</v>
      </c>
      <c r="C192">
        <v>1</v>
      </c>
      <c r="D192">
        <v>130</v>
      </c>
    </row>
    <row r="193" spans="1:4" x14ac:dyDescent="0.3">
      <c r="A193" s="20">
        <v>9789349679016</v>
      </c>
      <c r="B193" t="s">
        <v>1052</v>
      </c>
      <c r="C193">
        <v>2</v>
      </c>
      <c r="D193">
        <v>80</v>
      </c>
    </row>
    <row r="194" spans="1:4" x14ac:dyDescent="0.3">
      <c r="A194" s="20">
        <v>9789359427249</v>
      </c>
      <c r="B194" t="s">
        <v>1056</v>
      </c>
      <c r="C194">
        <v>1</v>
      </c>
      <c r="D194">
        <v>110</v>
      </c>
    </row>
    <row r="195" spans="1:4" x14ac:dyDescent="0.3">
      <c r="A195" s="20">
        <v>9789395301718</v>
      </c>
      <c r="B195" t="s">
        <v>1058</v>
      </c>
      <c r="C195">
        <v>1</v>
      </c>
      <c r="D195">
        <v>110</v>
      </c>
    </row>
    <row r="196" spans="1:4" x14ac:dyDescent="0.3">
      <c r="A196" s="20">
        <v>9789356951471</v>
      </c>
      <c r="B196" t="s">
        <v>1064</v>
      </c>
      <c r="C196">
        <v>1</v>
      </c>
      <c r="D196">
        <v>270</v>
      </c>
    </row>
    <row r="197" spans="1:4" x14ac:dyDescent="0.3">
      <c r="A197" s="20">
        <v>9789395301695</v>
      </c>
      <c r="B197" t="s">
        <v>1068</v>
      </c>
      <c r="C197">
        <v>2</v>
      </c>
      <c r="D197">
        <v>130</v>
      </c>
    </row>
    <row r="198" spans="1:4" x14ac:dyDescent="0.3">
      <c r="A198" s="20">
        <v>9789348970565</v>
      </c>
      <c r="B198" t="s">
        <v>537</v>
      </c>
      <c r="C198">
        <v>2</v>
      </c>
      <c r="D198">
        <v>220</v>
      </c>
    </row>
    <row r="199" spans="1:4" x14ac:dyDescent="0.3">
      <c r="A199" s="20">
        <v>9789395416993</v>
      </c>
      <c r="B199" t="s">
        <v>1071</v>
      </c>
      <c r="C199">
        <v>2</v>
      </c>
      <c r="D199">
        <v>120</v>
      </c>
    </row>
    <row r="200" spans="1:4" x14ac:dyDescent="0.3">
      <c r="A200" s="20">
        <v>9789356951532</v>
      </c>
      <c r="B200" t="s">
        <v>1075</v>
      </c>
      <c r="C200">
        <v>1</v>
      </c>
      <c r="D200">
        <v>160</v>
      </c>
    </row>
    <row r="201" spans="1:4" x14ac:dyDescent="0.3">
      <c r="A201" s="20">
        <v>9789359427218</v>
      </c>
      <c r="B201" t="s">
        <v>1079</v>
      </c>
      <c r="C201">
        <v>2</v>
      </c>
      <c r="D201">
        <v>160</v>
      </c>
    </row>
    <row r="202" spans="1:4" x14ac:dyDescent="0.3">
      <c r="A202" s="20">
        <v>9789356951518</v>
      </c>
      <c r="B202" t="s">
        <v>1081</v>
      </c>
      <c r="C202">
        <v>2</v>
      </c>
      <c r="D202">
        <v>170</v>
      </c>
    </row>
    <row r="203" spans="1:4" x14ac:dyDescent="0.3">
      <c r="A203" s="20">
        <v>9789395301701</v>
      </c>
      <c r="B203" t="s">
        <v>1083</v>
      </c>
      <c r="C203">
        <v>1</v>
      </c>
      <c r="D203">
        <v>130</v>
      </c>
    </row>
    <row r="204" spans="1:4" x14ac:dyDescent="0.3">
      <c r="A204" s="20">
        <v>9789395598705</v>
      </c>
      <c r="B204" t="s">
        <v>1085</v>
      </c>
      <c r="C204">
        <v>1</v>
      </c>
      <c r="D204">
        <v>80</v>
      </c>
    </row>
    <row r="205" spans="1:4" x14ac:dyDescent="0.3">
      <c r="A205" s="20">
        <v>9789348970763</v>
      </c>
      <c r="B205" t="s">
        <v>1087</v>
      </c>
      <c r="C205">
        <v>2</v>
      </c>
      <c r="D205">
        <v>160</v>
      </c>
    </row>
    <row r="206" spans="1:4" x14ac:dyDescent="0.3">
      <c r="A206" s="20">
        <v>9789356955943</v>
      </c>
      <c r="B206" t="s">
        <v>1097</v>
      </c>
      <c r="C206">
        <v>1</v>
      </c>
      <c r="D206">
        <v>490</v>
      </c>
    </row>
    <row r="207" spans="1:4" x14ac:dyDescent="0.3">
      <c r="A207" s="20">
        <v>9789359423227</v>
      </c>
      <c r="B207" t="s">
        <v>1101</v>
      </c>
      <c r="C207">
        <v>1</v>
      </c>
      <c r="D207">
        <v>60</v>
      </c>
    </row>
    <row r="208" spans="1:4" x14ac:dyDescent="0.3">
      <c r="A208" s="20">
        <v>9789395643672</v>
      </c>
      <c r="B208" t="s">
        <v>1103</v>
      </c>
      <c r="C208">
        <v>1</v>
      </c>
      <c r="D208">
        <v>100</v>
      </c>
    </row>
    <row r="209" spans="1:4" x14ac:dyDescent="0.3">
      <c r="A209" s="20">
        <v>9789395248815</v>
      </c>
      <c r="B209" t="s">
        <v>1105</v>
      </c>
      <c r="C209">
        <v>1</v>
      </c>
      <c r="D209">
        <v>210</v>
      </c>
    </row>
    <row r="210" spans="1:4" x14ac:dyDescent="0.3">
      <c r="A210" s="20">
        <v>9789348970015</v>
      </c>
      <c r="B210" t="s">
        <v>1107</v>
      </c>
      <c r="C210">
        <v>2</v>
      </c>
      <c r="D210">
        <v>90</v>
      </c>
    </row>
    <row r="211" spans="1:4" x14ac:dyDescent="0.3">
      <c r="A211" s="20">
        <v>9789356955523</v>
      </c>
      <c r="B211" t="s">
        <v>1109</v>
      </c>
      <c r="C211">
        <v>1</v>
      </c>
      <c r="D211">
        <v>160</v>
      </c>
    </row>
    <row r="212" spans="1:4" x14ac:dyDescent="0.3">
      <c r="A212" s="20">
        <v>9789395441070</v>
      </c>
      <c r="B212" t="s">
        <v>1136</v>
      </c>
      <c r="C212">
        <v>1</v>
      </c>
      <c r="D212">
        <v>130</v>
      </c>
    </row>
    <row r="213" spans="1:4" x14ac:dyDescent="0.3">
      <c r="A213" s="20">
        <v>9789395441094</v>
      </c>
      <c r="B213" t="s">
        <v>1140</v>
      </c>
      <c r="C213">
        <v>1</v>
      </c>
      <c r="D213">
        <v>140</v>
      </c>
    </row>
    <row r="214" spans="1:4" x14ac:dyDescent="0.3">
      <c r="A214" s="20">
        <v>9789394922020</v>
      </c>
      <c r="B214" t="s">
        <v>1151</v>
      </c>
      <c r="C214">
        <v>1</v>
      </c>
      <c r="D214">
        <v>180</v>
      </c>
    </row>
    <row r="215" spans="1:4" x14ac:dyDescent="0.3">
      <c r="A215" s="20">
        <v>9789394922983</v>
      </c>
      <c r="B215" t="s">
        <v>1155</v>
      </c>
      <c r="C215">
        <v>1</v>
      </c>
      <c r="D215">
        <v>130</v>
      </c>
    </row>
    <row r="216" spans="1:4" x14ac:dyDescent="0.3">
      <c r="A216" s="20">
        <v>9789359425955</v>
      </c>
      <c r="B216" t="s">
        <v>1171</v>
      </c>
      <c r="C216">
        <v>1</v>
      </c>
      <c r="D216">
        <v>650</v>
      </c>
    </row>
    <row r="217" spans="1:4" x14ac:dyDescent="0.3">
      <c r="A217" s="20">
        <v>9789359423500</v>
      </c>
      <c r="B217" t="s">
        <v>1174</v>
      </c>
      <c r="C217">
        <v>2</v>
      </c>
      <c r="D217">
        <v>160</v>
      </c>
    </row>
    <row r="218" spans="1:4" x14ac:dyDescent="0.3">
      <c r="A218" s="20">
        <v>9789356957657</v>
      </c>
      <c r="B218" t="s">
        <v>1180</v>
      </c>
      <c r="C218">
        <v>1</v>
      </c>
      <c r="D218">
        <v>90</v>
      </c>
    </row>
    <row r="219" spans="1:4" x14ac:dyDescent="0.3">
      <c r="A219" s="20">
        <v>9789395166003</v>
      </c>
      <c r="B219" t="s">
        <v>1192</v>
      </c>
      <c r="C219">
        <v>1</v>
      </c>
      <c r="D219">
        <v>250</v>
      </c>
    </row>
    <row r="220" spans="1:4" x14ac:dyDescent="0.3">
      <c r="A220" s="20">
        <v>9789359423364</v>
      </c>
      <c r="B220" t="s">
        <v>1198</v>
      </c>
      <c r="C220">
        <v>1</v>
      </c>
      <c r="D220">
        <v>160</v>
      </c>
    </row>
    <row r="221" spans="1:4" x14ac:dyDescent="0.3">
      <c r="A221" s="20">
        <v>9789359429786</v>
      </c>
      <c r="B221" t="s">
        <v>1202</v>
      </c>
      <c r="C221">
        <v>1</v>
      </c>
      <c r="D221">
        <v>180</v>
      </c>
    </row>
    <row r="222" spans="1:4" x14ac:dyDescent="0.3">
      <c r="A222" s="20">
        <v>9788198985712</v>
      </c>
      <c r="B222" t="s">
        <v>1214</v>
      </c>
      <c r="C222">
        <v>1</v>
      </c>
      <c r="D222">
        <v>180</v>
      </c>
    </row>
    <row r="223" spans="1:4" x14ac:dyDescent="0.3">
      <c r="A223" s="20">
        <v>9788119478880</v>
      </c>
      <c r="B223" t="s">
        <v>1220</v>
      </c>
      <c r="C223">
        <v>1</v>
      </c>
      <c r="D223">
        <v>130</v>
      </c>
    </row>
    <row r="224" spans="1:4" x14ac:dyDescent="0.3">
      <c r="A224" s="20">
        <v>9788119556311</v>
      </c>
      <c r="B224" t="s">
        <v>1222</v>
      </c>
      <c r="C224">
        <v>1</v>
      </c>
      <c r="D224">
        <v>100</v>
      </c>
    </row>
    <row r="225" spans="1:4" x14ac:dyDescent="0.3">
      <c r="A225" s="20">
        <v>9789359425894</v>
      </c>
      <c r="B225" t="s">
        <v>1224</v>
      </c>
      <c r="C225">
        <v>1</v>
      </c>
      <c r="D225">
        <v>130</v>
      </c>
    </row>
    <row r="226" spans="1:4" x14ac:dyDescent="0.3">
      <c r="A226" s="20">
        <v>9789359421360</v>
      </c>
      <c r="B226" t="s">
        <v>1226</v>
      </c>
      <c r="C226">
        <v>1</v>
      </c>
      <c r="D226">
        <v>90</v>
      </c>
    </row>
    <row r="227" spans="1:4" x14ac:dyDescent="0.3">
      <c r="A227" s="20">
        <v>9788119556526</v>
      </c>
      <c r="B227" t="s">
        <v>1228</v>
      </c>
      <c r="C227">
        <v>1</v>
      </c>
      <c r="D227">
        <v>110</v>
      </c>
    </row>
    <row r="228" spans="1:4" x14ac:dyDescent="0.3">
      <c r="A228" s="20">
        <v>9788119556151</v>
      </c>
      <c r="B228" t="s">
        <v>1230</v>
      </c>
      <c r="C228">
        <v>1</v>
      </c>
      <c r="D228">
        <v>100</v>
      </c>
    </row>
    <row r="229" spans="1:4" x14ac:dyDescent="0.3">
      <c r="A229" s="20">
        <v>9789356959071</v>
      </c>
      <c r="B229" t="s">
        <v>1261</v>
      </c>
      <c r="C229">
        <v>1</v>
      </c>
      <c r="D229">
        <v>250</v>
      </c>
    </row>
    <row r="230" spans="1:4" x14ac:dyDescent="0.3">
      <c r="A230" s="20">
        <v>9788119556267</v>
      </c>
      <c r="B230" t="s">
        <v>1263</v>
      </c>
      <c r="C230">
        <v>1</v>
      </c>
      <c r="D230">
        <v>240</v>
      </c>
    </row>
    <row r="231" spans="1:4" x14ac:dyDescent="0.3">
      <c r="A231" s="20">
        <v>9788198824226</v>
      </c>
      <c r="B231" t="s">
        <v>1267</v>
      </c>
      <c r="C231">
        <v>1</v>
      </c>
      <c r="D231">
        <v>250</v>
      </c>
    </row>
    <row r="232" spans="1:4" x14ac:dyDescent="0.3">
      <c r="A232" s="20">
        <v>9788119478095</v>
      </c>
      <c r="B232" t="s">
        <v>1285</v>
      </c>
      <c r="C232">
        <v>1</v>
      </c>
      <c r="D232">
        <v>210</v>
      </c>
    </row>
    <row r="233" spans="1:4" x14ac:dyDescent="0.3">
      <c r="A233" s="20">
        <v>9788199186064</v>
      </c>
      <c r="B233" t="s">
        <v>1295</v>
      </c>
      <c r="C233">
        <v>2</v>
      </c>
      <c r="D233">
        <v>100</v>
      </c>
    </row>
    <row r="234" spans="1:4" x14ac:dyDescent="0.3">
      <c r="A234" s="20">
        <v>9789359429540</v>
      </c>
      <c r="B234" t="s">
        <v>1297</v>
      </c>
      <c r="C234">
        <v>1</v>
      </c>
      <c r="D234">
        <v>90</v>
      </c>
    </row>
    <row r="235" spans="1:4" x14ac:dyDescent="0.3">
      <c r="A235" s="20">
        <v>9789359428680</v>
      </c>
      <c r="B235" t="s">
        <v>1299</v>
      </c>
      <c r="C235">
        <v>1</v>
      </c>
      <c r="D235">
        <v>110</v>
      </c>
    </row>
    <row r="236" spans="1:4" x14ac:dyDescent="0.3">
      <c r="A236" s="20">
        <v>9789349330795</v>
      </c>
      <c r="B236" t="s">
        <v>1307</v>
      </c>
      <c r="C236">
        <v>1</v>
      </c>
      <c r="D236">
        <v>110</v>
      </c>
    </row>
    <row r="237" spans="1:4" x14ac:dyDescent="0.3">
      <c r="A237" s="20">
        <v>9789395166027</v>
      </c>
      <c r="B237" t="s">
        <v>1309</v>
      </c>
      <c r="C237">
        <v>2</v>
      </c>
      <c r="D237">
        <v>280</v>
      </c>
    </row>
    <row r="238" spans="1:4" x14ac:dyDescent="0.3">
      <c r="A238" s="20">
        <v>9788119478088</v>
      </c>
      <c r="B238" t="s">
        <v>1311</v>
      </c>
      <c r="C238">
        <v>2</v>
      </c>
      <c r="D238">
        <v>170</v>
      </c>
    </row>
    <row r="239" spans="1:4" x14ac:dyDescent="0.3">
      <c r="A239" s="20">
        <v>9788199234260</v>
      </c>
      <c r="B239" t="s">
        <v>1313</v>
      </c>
      <c r="C239">
        <v>1</v>
      </c>
      <c r="D239">
        <v>170</v>
      </c>
    </row>
    <row r="240" spans="1:4" x14ac:dyDescent="0.3">
      <c r="A240" s="20">
        <v>9788119556144</v>
      </c>
      <c r="B240" t="s">
        <v>1323</v>
      </c>
      <c r="C240">
        <v>2</v>
      </c>
      <c r="D240">
        <v>160</v>
      </c>
    </row>
    <row r="241" spans="1:4" x14ac:dyDescent="0.3">
      <c r="A241" s="20">
        <v>9789359423708</v>
      </c>
      <c r="B241" t="s">
        <v>1329</v>
      </c>
      <c r="C241">
        <v>1</v>
      </c>
      <c r="D241">
        <v>100</v>
      </c>
    </row>
    <row r="242" spans="1:4" x14ac:dyDescent="0.3">
      <c r="A242" s="20">
        <v>9788199186019</v>
      </c>
      <c r="B242" t="s">
        <v>1333</v>
      </c>
      <c r="C242">
        <v>2</v>
      </c>
      <c r="D242">
        <v>240</v>
      </c>
    </row>
    <row r="243" spans="1:4" x14ac:dyDescent="0.3">
      <c r="A243" s="20">
        <v>9789359423883</v>
      </c>
      <c r="B243" t="s">
        <v>1335</v>
      </c>
      <c r="C243">
        <v>2</v>
      </c>
      <c r="D243">
        <v>230</v>
      </c>
    </row>
    <row r="244" spans="1:4" x14ac:dyDescent="0.3">
      <c r="A244" s="20">
        <v>9788119556281</v>
      </c>
      <c r="B244" t="s">
        <v>1339</v>
      </c>
      <c r="C244">
        <v>2</v>
      </c>
      <c r="D244">
        <v>100</v>
      </c>
    </row>
    <row r="245" spans="1:4" x14ac:dyDescent="0.3">
      <c r="A245" s="20">
        <v>9789359423753</v>
      </c>
      <c r="B245" t="s">
        <v>1341</v>
      </c>
      <c r="C245">
        <v>1</v>
      </c>
      <c r="D245">
        <v>110</v>
      </c>
    </row>
    <row r="246" spans="1:4" x14ac:dyDescent="0.3">
      <c r="A246" s="20">
        <v>9788119478934</v>
      </c>
      <c r="B246" t="s">
        <v>1345</v>
      </c>
      <c r="C246">
        <v>2</v>
      </c>
      <c r="D246">
        <v>90</v>
      </c>
    </row>
    <row r="247" spans="1:4" x14ac:dyDescent="0.3">
      <c r="A247" s="20">
        <v>9789359429809</v>
      </c>
      <c r="B247" t="s">
        <v>1353</v>
      </c>
      <c r="C247">
        <v>1</v>
      </c>
      <c r="D247">
        <v>270</v>
      </c>
    </row>
    <row r="248" spans="1:4" x14ac:dyDescent="0.3">
      <c r="A248" s="20">
        <v>9789348970848</v>
      </c>
      <c r="B248" t="s">
        <v>1365</v>
      </c>
      <c r="C248">
        <v>1</v>
      </c>
      <c r="D248">
        <v>120</v>
      </c>
    </row>
    <row r="249" spans="1:4" x14ac:dyDescent="0.3">
      <c r="A249" s="20">
        <v>9788199337459</v>
      </c>
      <c r="B249" t="s">
        <v>1367</v>
      </c>
      <c r="C249">
        <v>1</v>
      </c>
      <c r="D249">
        <v>90</v>
      </c>
    </row>
    <row r="250" spans="1:4" x14ac:dyDescent="0.3">
      <c r="A250" s="20">
        <v>9789359426686</v>
      </c>
      <c r="B250" t="s">
        <v>1371</v>
      </c>
      <c r="C250">
        <v>1</v>
      </c>
      <c r="D250">
        <v>100</v>
      </c>
    </row>
    <row r="251" spans="1:4" x14ac:dyDescent="0.3">
      <c r="A251" s="20">
        <v>9788199292451</v>
      </c>
      <c r="B251" t="s">
        <v>1379</v>
      </c>
      <c r="C251">
        <v>1</v>
      </c>
      <c r="D251">
        <v>110</v>
      </c>
    </row>
    <row r="252" spans="1:4" x14ac:dyDescent="0.3">
      <c r="A252" s="20">
        <v>9789359423982</v>
      </c>
      <c r="B252" t="s">
        <v>1403</v>
      </c>
      <c r="C252">
        <v>1</v>
      </c>
      <c r="D252">
        <v>100</v>
      </c>
    </row>
    <row r="253" spans="1:4" x14ac:dyDescent="0.3">
      <c r="A253" s="20">
        <v>9788119556298</v>
      </c>
      <c r="B253" t="s">
        <v>1407</v>
      </c>
      <c r="C253">
        <v>2</v>
      </c>
      <c r="D253">
        <v>50</v>
      </c>
    </row>
    <row r="254" spans="1:4" x14ac:dyDescent="0.3">
      <c r="A254" s="20">
        <v>9788119556083</v>
      </c>
      <c r="B254" t="s">
        <v>1409</v>
      </c>
      <c r="C254">
        <v>1</v>
      </c>
      <c r="D254">
        <v>230</v>
      </c>
    </row>
    <row r="255" spans="1:4" x14ac:dyDescent="0.3">
      <c r="A255" s="20">
        <v>9788198824271</v>
      </c>
      <c r="B255" t="s">
        <v>1413</v>
      </c>
      <c r="C255">
        <v>1</v>
      </c>
      <c r="D255">
        <v>210</v>
      </c>
    </row>
    <row r="256" spans="1:4" x14ac:dyDescent="0.3">
      <c r="A256" s="20">
        <v>9788198985767</v>
      </c>
      <c r="B256" t="s">
        <v>1415</v>
      </c>
      <c r="C256">
        <v>1</v>
      </c>
      <c r="D256">
        <v>140</v>
      </c>
    </row>
    <row r="257" spans="1:4" x14ac:dyDescent="0.3">
      <c r="A257" s="20">
        <v>9789356959088</v>
      </c>
      <c r="B257" t="s">
        <v>1463</v>
      </c>
      <c r="C257">
        <v>1</v>
      </c>
      <c r="D257">
        <v>80</v>
      </c>
    </row>
    <row r="258" spans="1:4" x14ac:dyDescent="0.3">
      <c r="A258" s="20">
        <v>9788119556830</v>
      </c>
      <c r="B258" t="s">
        <v>1465</v>
      </c>
      <c r="C258">
        <v>1</v>
      </c>
      <c r="D258">
        <v>110</v>
      </c>
    </row>
    <row r="259" spans="1:4" x14ac:dyDescent="0.3">
      <c r="A259" s="20">
        <v>9789348561435</v>
      </c>
      <c r="B259" t="s">
        <v>1467</v>
      </c>
      <c r="C259">
        <v>1</v>
      </c>
      <c r="D259">
        <v>90</v>
      </c>
    </row>
    <row r="260" spans="1:4" x14ac:dyDescent="0.3">
      <c r="A260" s="20">
        <v>9789359428390</v>
      </c>
      <c r="B260" t="s">
        <v>1475</v>
      </c>
      <c r="C260">
        <v>1</v>
      </c>
      <c r="D260">
        <v>110</v>
      </c>
    </row>
    <row r="261" spans="1:4" x14ac:dyDescent="0.3">
      <c r="A261" s="20">
        <v>9789395166058</v>
      </c>
      <c r="B261" t="s">
        <v>1477</v>
      </c>
      <c r="C261">
        <v>1</v>
      </c>
      <c r="D261">
        <v>250</v>
      </c>
    </row>
    <row r="262" spans="1:4" x14ac:dyDescent="0.3">
      <c r="A262" s="20">
        <v>9788119478866</v>
      </c>
      <c r="B262" t="s">
        <v>1479</v>
      </c>
      <c r="C262">
        <v>1</v>
      </c>
      <c r="D262">
        <v>110</v>
      </c>
    </row>
    <row r="263" spans="1:4" x14ac:dyDescent="0.3">
      <c r="A263" s="20">
        <v>9789395166072</v>
      </c>
      <c r="B263" t="s">
        <v>1487</v>
      </c>
      <c r="C263">
        <v>2</v>
      </c>
      <c r="D263">
        <v>330</v>
      </c>
    </row>
    <row r="264" spans="1:4" x14ac:dyDescent="0.3">
      <c r="A264" s="20">
        <v>9789359428833</v>
      </c>
      <c r="B264" t="s">
        <v>1489</v>
      </c>
      <c r="C264">
        <v>1</v>
      </c>
      <c r="D264">
        <v>100</v>
      </c>
    </row>
    <row r="265" spans="1:4" x14ac:dyDescent="0.3">
      <c r="A265" s="20">
        <v>9788119556489</v>
      </c>
      <c r="B265" t="s">
        <v>1495</v>
      </c>
      <c r="C265">
        <v>1</v>
      </c>
      <c r="D265">
        <v>100</v>
      </c>
    </row>
    <row r="266" spans="1:4" x14ac:dyDescent="0.3">
      <c r="A266" s="20">
        <v>9788119556182</v>
      </c>
      <c r="B266" t="s">
        <v>1497</v>
      </c>
      <c r="C266">
        <v>1</v>
      </c>
      <c r="D266">
        <v>100</v>
      </c>
    </row>
    <row r="267" spans="1:4" x14ac:dyDescent="0.3">
      <c r="A267" s="20">
        <v>9789359429564</v>
      </c>
      <c r="B267" t="s">
        <v>1499</v>
      </c>
      <c r="C267">
        <v>1</v>
      </c>
      <c r="D267">
        <v>90</v>
      </c>
    </row>
    <row r="268" spans="1:4" x14ac:dyDescent="0.3">
      <c r="A268" s="20">
        <v>9788199262720</v>
      </c>
      <c r="B268" t="s">
        <v>1509</v>
      </c>
      <c r="C268">
        <v>1</v>
      </c>
      <c r="D268">
        <v>230</v>
      </c>
    </row>
    <row r="269" spans="1:4" x14ac:dyDescent="0.3">
      <c r="A269" s="20">
        <v>9789359423494</v>
      </c>
      <c r="B269" t="s">
        <v>1513</v>
      </c>
      <c r="C269">
        <v>1</v>
      </c>
      <c r="D269">
        <v>120</v>
      </c>
    </row>
    <row r="270" spans="1:4" x14ac:dyDescent="0.3">
      <c r="A270" s="20">
        <v>9789349330245</v>
      </c>
      <c r="B270" t="s">
        <v>1515</v>
      </c>
      <c r="C270">
        <v>1</v>
      </c>
      <c r="D270">
        <v>110</v>
      </c>
    </row>
    <row r="271" spans="1:4" x14ac:dyDescent="0.3">
      <c r="A271" s="20">
        <v>9789349330634</v>
      </c>
      <c r="B271" t="s">
        <v>1521</v>
      </c>
      <c r="C271">
        <v>1</v>
      </c>
      <c r="D271">
        <v>210</v>
      </c>
    </row>
    <row r="272" spans="1:4" x14ac:dyDescent="0.3">
      <c r="A272" s="20">
        <v>9788119556243</v>
      </c>
      <c r="B272" t="s">
        <v>1523</v>
      </c>
      <c r="C272">
        <v>2</v>
      </c>
      <c r="D272">
        <v>120</v>
      </c>
    </row>
    <row r="273" spans="1:4" x14ac:dyDescent="0.3">
      <c r="A273" s="20">
        <v>9789359421377</v>
      </c>
      <c r="B273" t="s">
        <v>1525</v>
      </c>
      <c r="C273">
        <v>2</v>
      </c>
      <c r="D273">
        <v>100</v>
      </c>
    </row>
    <row r="274" spans="1:4" x14ac:dyDescent="0.3">
      <c r="A274" s="20">
        <v>9788119478927</v>
      </c>
      <c r="B274" t="s">
        <v>1529</v>
      </c>
      <c r="C274">
        <v>2</v>
      </c>
      <c r="D274">
        <v>100</v>
      </c>
    </row>
    <row r="275" spans="1:4" x14ac:dyDescent="0.3">
      <c r="A275" s="20">
        <v>9788119556359</v>
      </c>
      <c r="B275" t="s">
        <v>1531</v>
      </c>
      <c r="C275">
        <v>1</v>
      </c>
      <c r="D275">
        <v>110</v>
      </c>
    </row>
    <row r="276" spans="1:4" x14ac:dyDescent="0.3">
      <c r="A276" s="20">
        <v>9789359428024</v>
      </c>
      <c r="B276" t="s">
        <v>1533</v>
      </c>
      <c r="C276">
        <v>2</v>
      </c>
      <c r="D276">
        <v>170</v>
      </c>
    </row>
    <row r="277" spans="1:4" x14ac:dyDescent="0.3">
      <c r="A277" s="20">
        <v>9789395166096</v>
      </c>
      <c r="B277" t="s">
        <v>1536</v>
      </c>
      <c r="C277">
        <v>1</v>
      </c>
      <c r="D277">
        <v>340</v>
      </c>
    </row>
    <row r="278" spans="1:4" x14ac:dyDescent="0.3">
      <c r="A278" s="20">
        <v>9789359428673</v>
      </c>
      <c r="B278" t="s">
        <v>1538</v>
      </c>
      <c r="C278">
        <v>1</v>
      </c>
      <c r="D278">
        <v>130</v>
      </c>
    </row>
    <row r="279" spans="1:4" x14ac:dyDescent="0.3">
      <c r="A279" s="20">
        <v>9788198935571</v>
      </c>
      <c r="B279" t="s">
        <v>1542</v>
      </c>
      <c r="C279">
        <v>2</v>
      </c>
      <c r="D279">
        <v>100</v>
      </c>
    </row>
    <row r="280" spans="1:4" x14ac:dyDescent="0.3">
      <c r="A280" s="20">
        <v>9789359424576</v>
      </c>
      <c r="B280" t="s">
        <v>1544</v>
      </c>
      <c r="C280">
        <v>1</v>
      </c>
      <c r="D280">
        <v>100</v>
      </c>
    </row>
    <row r="281" spans="1:4" x14ac:dyDescent="0.3">
      <c r="A281" s="20">
        <v>9788119478972</v>
      </c>
      <c r="B281" t="s">
        <v>1548</v>
      </c>
      <c r="C281">
        <v>1</v>
      </c>
      <c r="D281">
        <v>100</v>
      </c>
    </row>
    <row r="282" spans="1:4" x14ac:dyDescent="0.3">
      <c r="A282" s="20">
        <v>9789356959057</v>
      </c>
      <c r="B282" t="s">
        <v>1550</v>
      </c>
      <c r="C282">
        <v>1</v>
      </c>
      <c r="D282">
        <v>110</v>
      </c>
    </row>
    <row r="283" spans="1:4" x14ac:dyDescent="0.3">
      <c r="A283" s="20">
        <v>9789349330832</v>
      </c>
      <c r="B283" t="s">
        <v>1557</v>
      </c>
      <c r="C283">
        <v>2</v>
      </c>
      <c r="D283">
        <v>290</v>
      </c>
    </row>
    <row r="284" spans="1:4" x14ac:dyDescent="0.3">
      <c r="A284" s="20">
        <v>9789356954861</v>
      </c>
      <c r="B284" t="s">
        <v>1559</v>
      </c>
      <c r="C284">
        <v>1</v>
      </c>
      <c r="D284">
        <v>280</v>
      </c>
    </row>
    <row r="285" spans="1:4" x14ac:dyDescent="0.3">
      <c r="A285" s="20">
        <v>9789349679238</v>
      </c>
      <c r="B285" t="s">
        <v>1562</v>
      </c>
      <c r="C285">
        <v>1</v>
      </c>
      <c r="D285">
        <v>160</v>
      </c>
    </row>
    <row r="286" spans="1:4" x14ac:dyDescent="0.3">
      <c r="A286" s="20">
        <v>9789356952645</v>
      </c>
      <c r="B286" t="s">
        <v>1566</v>
      </c>
      <c r="C286">
        <v>1</v>
      </c>
      <c r="D286">
        <v>150</v>
      </c>
    </row>
    <row r="287" spans="1:4" x14ac:dyDescent="0.3">
      <c r="A287" s="20">
        <v>9789356952676</v>
      </c>
      <c r="B287" t="s">
        <v>1570</v>
      </c>
      <c r="C287">
        <v>2</v>
      </c>
      <c r="D287">
        <v>320</v>
      </c>
    </row>
    <row r="288" spans="1:4" x14ac:dyDescent="0.3">
      <c r="A288" s="20">
        <v>9789359425658</v>
      </c>
      <c r="B288" t="s">
        <v>1574</v>
      </c>
      <c r="C288">
        <v>1</v>
      </c>
      <c r="D288">
        <v>120</v>
      </c>
    </row>
    <row r="289" spans="1:4" x14ac:dyDescent="0.3">
      <c r="A289" s="20">
        <v>9789395416849</v>
      </c>
      <c r="B289" t="s">
        <v>1581</v>
      </c>
      <c r="C289">
        <v>6</v>
      </c>
      <c r="D289">
        <v>100</v>
      </c>
    </row>
    <row r="290" spans="1:4" x14ac:dyDescent="0.3">
      <c r="A290" s="20">
        <v>9789395416863</v>
      </c>
      <c r="B290" t="s">
        <v>1584</v>
      </c>
      <c r="C290">
        <v>4</v>
      </c>
      <c r="D290">
        <v>220</v>
      </c>
    </row>
    <row r="291" spans="1:4" x14ac:dyDescent="0.3">
      <c r="A291" s="20">
        <v>9789395416870</v>
      </c>
      <c r="B291" t="s">
        <v>1586</v>
      </c>
      <c r="C291">
        <v>2</v>
      </c>
      <c r="D291">
        <v>100</v>
      </c>
    </row>
    <row r="292" spans="1:4" x14ac:dyDescent="0.3">
      <c r="A292" s="20">
        <v>9789395416894</v>
      </c>
      <c r="B292" t="s">
        <v>1588</v>
      </c>
      <c r="C292">
        <v>3</v>
      </c>
      <c r="D292">
        <v>130</v>
      </c>
    </row>
    <row r="293" spans="1:4" x14ac:dyDescent="0.3">
      <c r="A293" s="20">
        <v>9789395416825</v>
      </c>
      <c r="B293" t="s">
        <v>1590</v>
      </c>
      <c r="C293">
        <v>6</v>
      </c>
      <c r="D293">
        <v>90</v>
      </c>
    </row>
    <row r="294" spans="1:4" x14ac:dyDescent="0.3">
      <c r="A294" s="20">
        <v>9789395598538</v>
      </c>
      <c r="B294" t="s">
        <v>1592</v>
      </c>
      <c r="C294">
        <v>6</v>
      </c>
      <c r="D294">
        <v>110</v>
      </c>
    </row>
    <row r="295" spans="1:4" x14ac:dyDescent="0.3">
      <c r="A295" s="20">
        <v>9789395416818</v>
      </c>
      <c r="B295" t="s">
        <v>1594</v>
      </c>
      <c r="C295">
        <v>6</v>
      </c>
      <c r="D295">
        <v>110</v>
      </c>
    </row>
    <row r="296" spans="1:4" x14ac:dyDescent="0.3">
      <c r="A296" s="20">
        <v>9789395166140</v>
      </c>
      <c r="B296" t="s">
        <v>1598</v>
      </c>
      <c r="C296">
        <v>3</v>
      </c>
      <c r="D296">
        <v>150</v>
      </c>
    </row>
    <row r="297" spans="1:4" x14ac:dyDescent="0.3">
      <c r="A297" s="20">
        <v>9789395416832</v>
      </c>
      <c r="B297" t="s">
        <v>1600</v>
      </c>
      <c r="C297">
        <v>3</v>
      </c>
      <c r="D297">
        <v>100</v>
      </c>
    </row>
    <row r="298" spans="1:4" x14ac:dyDescent="0.3">
      <c r="A298" s="20">
        <v>9789395416856</v>
      </c>
      <c r="B298" t="s">
        <v>1602</v>
      </c>
      <c r="C298">
        <v>7</v>
      </c>
      <c r="D298">
        <v>130</v>
      </c>
    </row>
    <row r="299" spans="1:4" x14ac:dyDescent="0.3">
      <c r="A299" s="20">
        <v>9789395166171</v>
      </c>
      <c r="B299" t="s">
        <v>1604</v>
      </c>
      <c r="C299">
        <v>4</v>
      </c>
      <c r="D299">
        <v>110</v>
      </c>
    </row>
    <row r="300" spans="1:4" x14ac:dyDescent="0.3">
      <c r="A300" s="20">
        <v>9789395598545</v>
      </c>
      <c r="B300" t="s">
        <v>1606</v>
      </c>
      <c r="C300">
        <v>7</v>
      </c>
      <c r="D300">
        <v>210</v>
      </c>
    </row>
    <row r="301" spans="1:4" x14ac:dyDescent="0.3">
      <c r="A301" s="20">
        <v>9789395001694</v>
      </c>
      <c r="B301" t="s">
        <v>1608</v>
      </c>
      <c r="C301">
        <v>1</v>
      </c>
      <c r="D301">
        <v>240</v>
      </c>
    </row>
    <row r="302" spans="1:4" x14ac:dyDescent="0.3">
      <c r="A302" s="20">
        <v>9789395001410</v>
      </c>
      <c r="B302" t="s">
        <v>1611</v>
      </c>
      <c r="C302">
        <v>1</v>
      </c>
      <c r="D302">
        <v>110</v>
      </c>
    </row>
    <row r="303" spans="1:4" x14ac:dyDescent="0.3">
      <c r="A303" s="20">
        <v>9789395001618</v>
      </c>
      <c r="B303" t="s">
        <v>1613</v>
      </c>
      <c r="C303">
        <v>1</v>
      </c>
      <c r="D303">
        <v>140</v>
      </c>
    </row>
    <row r="304" spans="1:4" x14ac:dyDescent="0.3">
      <c r="A304" s="20">
        <v>9789356956094</v>
      </c>
      <c r="B304" t="s">
        <v>1622</v>
      </c>
      <c r="C304">
        <v>4</v>
      </c>
      <c r="D304">
        <v>170</v>
      </c>
    </row>
    <row r="305" spans="1:4" x14ac:dyDescent="0.3">
      <c r="A305" s="20">
        <v>9788199186026</v>
      </c>
      <c r="B305" t="s">
        <v>1625</v>
      </c>
      <c r="C305">
        <v>2</v>
      </c>
      <c r="D305">
        <v>140</v>
      </c>
    </row>
    <row r="306" spans="1:4" x14ac:dyDescent="0.3">
      <c r="A306" s="20">
        <v>9789356956100</v>
      </c>
      <c r="B306" t="s">
        <v>1629</v>
      </c>
      <c r="C306">
        <v>1</v>
      </c>
      <c r="D306">
        <v>110</v>
      </c>
    </row>
    <row r="307" spans="1:4" x14ac:dyDescent="0.3">
      <c r="A307" s="20">
        <v>9789356956216</v>
      </c>
      <c r="B307" t="s">
        <v>1631</v>
      </c>
      <c r="C307">
        <v>2</v>
      </c>
      <c r="D307">
        <v>230</v>
      </c>
    </row>
    <row r="308" spans="1:4" x14ac:dyDescent="0.3">
      <c r="A308" s="20">
        <v>9789356956230</v>
      </c>
      <c r="B308" t="s">
        <v>1635</v>
      </c>
      <c r="C308">
        <v>1</v>
      </c>
      <c r="D308">
        <v>130</v>
      </c>
    </row>
    <row r="309" spans="1:4" x14ac:dyDescent="0.3">
      <c r="A309" s="20">
        <v>9789356956223</v>
      </c>
      <c r="B309" t="s">
        <v>1637</v>
      </c>
      <c r="C309">
        <v>2</v>
      </c>
      <c r="D309">
        <v>290</v>
      </c>
    </row>
    <row r="310" spans="1:4" x14ac:dyDescent="0.3">
      <c r="A310" s="20">
        <v>9789356956780</v>
      </c>
      <c r="B310" t="s">
        <v>1642</v>
      </c>
      <c r="C310">
        <v>1</v>
      </c>
      <c r="D310">
        <v>190</v>
      </c>
    </row>
    <row r="311" spans="1:4" x14ac:dyDescent="0.3">
      <c r="A311" s="20">
        <v>9789348561800</v>
      </c>
      <c r="B311" t="s">
        <v>1644</v>
      </c>
      <c r="C311">
        <v>2</v>
      </c>
      <c r="D311">
        <v>100</v>
      </c>
    </row>
    <row r="312" spans="1:4" x14ac:dyDescent="0.3">
      <c r="A312" s="20">
        <v>9789348561251</v>
      </c>
      <c r="B312" t="s">
        <v>1648</v>
      </c>
      <c r="C312">
        <v>1</v>
      </c>
      <c r="D312">
        <v>70</v>
      </c>
    </row>
    <row r="313" spans="1:4" x14ac:dyDescent="0.3">
      <c r="A313" s="20">
        <v>9789348561909</v>
      </c>
      <c r="B313" t="s">
        <v>1650</v>
      </c>
      <c r="C313">
        <v>1</v>
      </c>
      <c r="D313">
        <v>90</v>
      </c>
    </row>
    <row r="314" spans="1:4" x14ac:dyDescent="0.3">
      <c r="A314" s="20">
        <v>9789356956650</v>
      </c>
      <c r="B314" t="s">
        <v>1654</v>
      </c>
      <c r="C314">
        <v>1</v>
      </c>
      <c r="D314">
        <v>330</v>
      </c>
    </row>
    <row r="315" spans="1:4" x14ac:dyDescent="0.3">
      <c r="A315" s="20">
        <v>9789356956612</v>
      </c>
      <c r="B315" t="s">
        <v>1658</v>
      </c>
      <c r="C315">
        <v>1</v>
      </c>
      <c r="D315">
        <v>90</v>
      </c>
    </row>
    <row r="316" spans="1:4" x14ac:dyDescent="0.3">
      <c r="A316" s="20">
        <v>9789356956711</v>
      </c>
      <c r="B316" t="s">
        <v>1660</v>
      </c>
      <c r="C316">
        <v>2</v>
      </c>
      <c r="D316">
        <v>370</v>
      </c>
    </row>
    <row r="317" spans="1:4" x14ac:dyDescent="0.3">
      <c r="A317" s="20">
        <v>9789359423296</v>
      </c>
      <c r="B317" t="s">
        <v>1662</v>
      </c>
      <c r="C317">
        <v>2</v>
      </c>
      <c r="D317">
        <v>140</v>
      </c>
    </row>
    <row r="318" spans="1:4" x14ac:dyDescent="0.3">
      <c r="A318" s="20">
        <v>9789348561473</v>
      </c>
      <c r="B318" t="s">
        <v>1666</v>
      </c>
      <c r="C318">
        <v>1</v>
      </c>
      <c r="D318">
        <v>110</v>
      </c>
    </row>
    <row r="319" spans="1:4" x14ac:dyDescent="0.3">
      <c r="A319" s="20">
        <v>9789348561367</v>
      </c>
      <c r="B319" t="s">
        <v>1678</v>
      </c>
      <c r="C319">
        <v>1</v>
      </c>
      <c r="D319">
        <v>190</v>
      </c>
    </row>
    <row r="320" spans="1:4" x14ac:dyDescent="0.3">
      <c r="A320" s="20">
        <v>9789348561794</v>
      </c>
      <c r="B320" t="s">
        <v>1680</v>
      </c>
      <c r="C320">
        <v>1</v>
      </c>
      <c r="D320">
        <v>110</v>
      </c>
    </row>
    <row r="321" spans="1:4" x14ac:dyDescent="0.3">
      <c r="A321" s="20">
        <v>9788119478651</v>
      </c>
      <c r="B321" t="s">
        <v>1682</v>
      </c>
      <c r="C321">
        <v>2</v>
      </c>
      <c r="D321">
        <v>300</v>
      </c>
    </row>
    <row r="322" spans="1:4" x14ac:dyDescent="0.3">
      <c r="A322" s="20">
        <v>9789348561459</v>
      </c>
      <c r="B322" t="s">
        <v>1686</v>
      </c>
      <c r="C322">
        <v>1</v>
      </c>
      <c r="D322">
        <v>340</v>
      </c>
    </row>
    <row r="323" spans="1:4" x14ac:dyDescent="0.3">
      <c r="A323" s="20">
        <v>9789348561671</v>
      </c>
      <c r="B323" t="s">
        <v>1690</v>
      </c>
      <c r="C323">
        <v>1</v>
      </c>
      <c r="D323">
        <v>90</v>
      </c>
    </row>
    <row r="324" spans="1:4" x14ac:dyDescent="0.3">
      <c r="A324" s="20">
        <v>9789348561114</v>
      </c>
      <c r="B324" t="s">
        <v>1692</v>
      </c>
      <c r="C324">
        <v>1</v>
      </c>
      <c r="D324">
        <v>130</v>
      </c>
    </row>
    <row r="325" spans="1:4" x14ac:dyDescent="0.3">
      <c r="A325" s="20">
        <v>9789348561091</v>
      </c>
      <c r="B325" t="s">
        <v>1696</v>
      </c>
      <c r="C325">
        <v>1</v>
      </c>
      <c r="D325">
        <v>90</v>
      </c>
    </row>
    <row r="326" spans="1:4" x14ac:dyDescent="0.3">
      <c r="A326" s="20">
        <v>9788119478576</v>
      </c>
      <c r="B326" t="s">
        <v>1702</v>
      </c>
      <c r="C326">
        <v>2</v>
      </c>
      <c r="D326">
        <v>130</v>
      </c>
    </row>
    <row r="327" spans="1:4" x14ac:dyDescent="0.3">
      <c r="A327" s="20">
        <v>9789348561749</v>
      </c>
      <c r="B327" t="s">
        <v>1706</v>
      </c>
      <c r="C327">
        <v>1</v>
      </c>
      <c r="D327">
        <v>90</v>
      </c>
    </row>
    <row r="328" spans="1:4" x14ac:dyDescent="0.3">
      <c r="A328" s="20">
        <v>9789348561848</v>
      </c>
      <c r="B328" t="s">
        <v>1710</v>
      </c>
      <c r="C328">
        <v>1</v>
      </c>
      <c r="D328">
        <v>240</v>
      </c>
    </row>
    <row r="329" spans="1:4" x14ac:dyDescent="0.3">
      <c r="A329" s="20">
        <v>9788119556755</v>
      </c>
      <c r="B329" t="s">
        <v>1712</v>
      </c>
      <c r="C329">
        <v>1</v>
      </c>
      <c r="D329">
        <v>410</v>
      </c>
    </row>
    <row r="330" spans="1:4" x14ac:dyDescent="0.3">
      <c r="A330" s="20">
        <v>9789348561787</v>
      </c>
      <c r="B330" t="s">
        <v>1716</v>
      </c>
      <c r="C330">
        <v>1</v>
      </c>
      <c r="D330">
        <v>110</v>
      </c>
    </row>
    <row r="331" spans="1:4" x14ac:dyDescent="0.3">
      <c r="A331" s="20">
        <v>9789356956759</v>
      </c>
      <c r="B331" t="s">
        <v>1718</v>
      </c>
      <c r="C331">
        <v>1</v>
      </c>
      <c r="D331">
        <v>260</v>
      </c>
    </row>
    <row r="332" spans="1:4" x14ac:dyDescent="0.3">
      <c r="A332" s="20">
        <v>9789348561312</v>
      </c>
      <c r="B332" t="s">
        <v>1720</v>
      </c>
      <c r="C332">
        <v>2</v>
      </c>
      <c r="D332">
        <v>240</v>
      </c>
    </row>
    <row r="333" spans="1:4" x14ac:dyDescent="0.3">
      <c r="A333" s="20">
        <v>9789356956674</v>
      </c>
      <c r="B333" t="s">
        <v>1724</v>
      </c>
      <c r="C333">
        <v>1</v>
      </c>
      <c r="D333">
        <v>170</v>
      </c>
    </row>
    <row r="334" spans="1:4" x14ac:dyDescent="0.3">
      <c r="A334" s="20">
        <v>9788119478675</v>
      </c>
      <c r="B334" t="s">
        <v>1726</v>
      </c>
      <c r="C334">
        <v>1</v>
      </c>
      <c r="D334">
        <v>120</v>
      </c>
    </row>
    <row r="335" spans="1:4" x14ac:dyDescent="0.3">
      <c r="A335" s="20">
        <v>9789348561756</v>
      </c>
      <c r="B335" t="s">
        <v>1728</v>
      </c>
      <c r="C335">
        <v>1</v>
      </c>
      <c r="D335">
        <v>180</v>
      </c>
    </row>
    <row r="336" spans="1:4" x14ac:dyDescent="0.3">
      <c r="A336" s="20">
        <v>9789348561329</v>
      </c>
      <c r="B336" t="s">
        <v>1730</v>
      </c>
      <c r="C336">
        <v>1</v>
      </c>
      <c r="D336">
        <v>100</v>
      </c>
    </row>
    <row r="337" spans="1:4" x14ac:dyDescent="0.3">
      <c r="A337" s="20">
        <v>9789356956827</v>
      </c>
      <c r="B337" t="s">
        <v>1732</v>
      </c>
      <c r="C337">
        <v>1</v>
      </c>
      <c r="D337">
        <v>360</v>
      </c>
    </row>
    <row r="338" spans="1:4" x14ac:dyDescent="0.3">
      <c r="A338" s="20">
        <v>9789356956827</v>
      </c>
      <c r="B338" t="s">
        <v>1734</v>
      </c>
      <c r="C338">
        <v>2</v>
      </c>
      <c r="D338">
        <v>660</v>
      </c>
    </row>
    <row r="339" spans="1:4" x14ac:dyDescent="0.3">
      <c r="A339" s="20">
        <v>9789348561206</v>
      </c>
      <c r="B339" t="s">
        <v>1735</v>
      </c>
      <c r="C339">
        <v>1</v>
      </c>
      <c r="D339">
        <v>50</v>
      </c>
    </row>
    <row r="340" spans="1:4" x14ac:dyDescent="0.3">
      <c r="A340" s="20">
        <v>9789348561381</v>
      </c>
      <c r="B340" t="s">
        <v>1737</v>
      </c>
      <c r="C340">
        <v>1</v>
      </c>
      <c r="D340">
        <v>110</v>
      </c>
    </row>
    <row r="341" spans="1:4" x14ac:dyDescent="0.3">
      <c r="A341" s="20">
        <v>9789348561923</v>
      </c>
      <c r="B341" t="s">
        <v>1739</v>
      </c>
      <c r="C341">
        <v>1</v>
      </c>
      <c r="D341">
        <v>80</v>
      </c>
    </row>
    <row r="342" spans="1:4" x14ac:dyDescent="0.3">
      <c r="A342" s="20">
        <v>9789348561442</v>
      </c>
      <c r="B342" t="s">
        <v>1741</v>
      </c>
      <c r="C342">
        <v>1</v>
      </c>
      <c r="D342">
        <v>160</v>
      </c>
    </row>
    <row r="343" spans="1:4" x14ac:dyDescent="0.3">
      <c r="A343" s="20">
        <v>9789348561138</v>
      </c>
      <c r="B343" t="s">
        <v>1751</v>
      </c>
      <c r="C343">
        <v>1</v>
      </c>
      <c r="D343">
        <v>50</v>
      </c>
    </row>
    <row r="344" spans="1:4" x14ac:dyDescent="0.3">
      <c r="A344" s="20">
        <v>9789348138644</v>
      </c>
      <c r="B344" t="s">
        <v>1753</v>
      </c>
      <c r="C344">
        <v>2</v>
      </c>
      <c r="D344">
        <v>190</v>
      </c>
    </row>
    <row r="345" spans="1:4" x14ac:dyDescent="0.3">
      <c r="A345" s="20">
        <v>9789348138927</v>
      </c>
      <c r="B345" t="s">
        <v>1755</v>
      </c>
      <c r="C345">
        <v>2</v>
      </c>
      <c r="D345">
        <v>210</v>
      </c>
    </row>
    <row r="346" spans="1:4" x14ac:dyDescent="0.3">
      <c r="A346" s="20">
        <v>9789348138835</v>
      </c>
      <c r="B346" t="s">
        <v>1757</v>
      </c>
      <c r="C346">
        <v>2</v>
      </c>
      <c r="D346">
        <v>240</v>
      </c>
    </row>
    <row r="347" spans="1:4" x14ac:dyDescent="0.3">
      <c r="A347" s="20">
        <v>9789348138064</v>
      </c>
      <c r="B347" t="s">
        <v>1759</v>
      </c>
      <c r="C347">
        <v>2</v>
      </c>
      <c r="D347">
        <v>190</v>
      </c>
    </row>
    <row r="348" spans="1:4" x14ac:dyDescent="0.3">
      <c r="A348" s="20">
        <v>9789348138781</v>
      </c>
      <c r="B348" t="s">
        <v>1763</v>
      </c>
      <c r="C348">
        <v>2</v>
      </c>
      <c r="D348">
        <v>370</v>
      </c>
    </row>
    <row r="349" spans="1:4" x14ac:dyDescent="0.3">
      <c r="A349" s="20">
        <v>9789348138996</v>
      </c>
      <c r="B349" t="s">
        <v>1765</v>
      </c>
      <c r="C349">
        <v>2</v>
      </c>
      <c r="D349">
        <v>450</v>
      </c>
    </row>
    <row r="350" spans="1:4" x14ac:dyDescent="0.3">
      <c r="A350" s="20">
        <v>9789348561374</v>
      </c>
      <c r="B350" t="s">
        <v>1767</v>
      </c>
      <c r="C350">
        <v>1</v>
      </c>
      <c r="D350">
        <v>130</v>
      </c>
    </row>
    <row r="351" spans="1:4" x14ac:dyDescent="0.3">
      <c r="A351" s="20">
        <v>9788119556564</v>
      </c>
      <c r="B351" t="s">
        <v>1771</v>
      </c>
      <c r="C351">
        <v>1</v>
      </c>
      <c r="D351">
        <v>150</v>
      </c>
    </row>
    <row r="352" spans="1:4" x14ac:dyDescent="0.3">
      <c r="A352" s="20">
        <v>9789348561244</v>
      </c>
      <c r="B352" t="s">
        <v>1775</v>
      </c>
      <c r="C352">
        <v>1</v>
      </c>
      <c r="D352">
        <v>110</v>
      </c>
    </row>
    <row r="353" spans="1:4" x14ac:dyDescent="0.3">
      <c r="A353" s="20">
        <v>9789348561152</v>
      </c>
      <c r="B353" t="s">
        <v>1779</v>
      </c>
      <c r="C353">
        <v>1</v>
      </c>
      <c r="D353">
        <v>160</v>
      </c>
    </row>
    <row r="354" spans="1:4" x14ac:dyDescent="0.3">
      <c r="A354" s="20">
        <v>9789348561589</v>
      </c>
      <c r="B354" t="s">
        <v>1785</v>
      </c>
      <c r="C354">
        <v>2</v>
      </c>
      <c r="D354">
        <v>290</v>
      </c>
    </row>
    <row r="355" spans="1:4" x14ac:dyDescent="0.3">
      <c r="A355" s="20">
        <v>9789348561602</v>
      </c>
      <c r="B355" t="s">
        <v>1787</v>
      </c>
      <c r="C355">
        <v>1</v>
      </c>
      <c r="D355">
        <v>290</v>
      </c>
    </row>
    <row r="356" spans="1:4" x14ac:dyDescent="0.3">
      <c r="A356" s="20">
        <v>9789348561350</v>
      </c>
      <c r="B356" t="s">
        <v>1789</v>
      </c>
      <c r="C356">
        <v>1</v>
      </c>
      <c r="D356">
        <v>280</v>
      </c>
    </row>
    <row r="357" spans="1:4" x14ac:dyDescent="0.3">
      <c r="A357" s="20">
        <v>9788119478743</v>
      </c>
      <c r="B357" t="s">
        <v>1795</v>
      </c>
      <c r="C357">
        <v>2</v>
      </c>
      <c r="D357">
        <v>110</v>
      </c>
    </row>
    <row r="358" spans="1:4" x14ac:dyDescent="0.3">
      <c r="A358" s="20">
        <v>9788119478569</v>
      </c>
      <c r="B358" t="s">
        <v>1799</v>
      </c>
      <c r="C358">
        <v>1</v>
      </c>
      <c r="D358">
        <v>300</v>
      </c>
    </row>
    <row r="359" spans="1:4" x14ac:dyDescent="0.3">
      <c r="A359" s="20">
        <v>9789348561886</v>
      </c>
      <c r="B359" t="s">
        <v>1801</v>
      </c>
      <c r="C359">
        <v>2</v>
      </c>
      <c r="D359">
        <v>120</v>
      </c>
    </row>
    <row r="360" spans="1:4" x14ac:dyDescent="0.3">
      <c r="A360" s="20">
        <v>9789348561299</v>
      </c>
      <c r="B360" t="s">
        <v>1807</v>
      </c>
      <c r="C360">
        <v>2</v>
      </c>
      <c r="D360">
        <v>360</v>
      </c>
    </row>
    <row r="361" spans="1:4" x14ac:dyDescent="0.3">
      <c r="A361" s="20">
        <v>9789359426600</v>
      </c>
      <c r="B361" t="s">
        <v>1809</v>
      </c>
      <c r="C361">
        <v>2</v>
      </c>
      <c r="D361">
        <v>310</v>
      </c>
    </row>
    <row r="362" spans="1:4" x14ac:dyDescent="0.3">
      <c r="A362" s="20">
        <v>9788119478583</v>
      </c>
      <c r="B362" t="s">
        <v>1813</v>
      </c>
      <c r="C362">
        <v>1</v>
      </c>
      <c r="D362">
        <v>100</v>
      </c>
    </row>
    <row r="363" spans="1:4" x14ac:dyDescent="0.3">
      <c r="A363" s="20">
        <v>9789395166478</v>
      </c>
      <c r="B363" t="s">
        <v>1820</v>
      </c>
      <c r="C363">
        <v>2</v>
      </c>
      <c r="D363">
        <v>120</v>
      </c>
    </row>
    <row r="364" spans="1:4" x14ac:dyDescent="0.3">
      <c r="A364" s="20">
        <v>9788119166091</v>
      </c>
      <c r="B364" t="s">
        <v>1842</v>
      </c>
      <c r="C364">
        <v>1</v>
      </c>
      <c r="D364">
        <v>100</v>
      </c>
    </row>
    <row r="365" spans="1:4" x14ac:dyDescent="0.3">
      <c r="A365" s="20">
        <v>9789356952812</v>
      </c>
      <c r="B365" t="s">
        <v>1861</v>
      </c>
      <c r="C365">
        <v>1</v>
      </c>
      <c r="D365">
        <v>150</v>
      </c>
    </row>
    <row r="366" spans="1:4" x14ac:dyDescent="0.3">
      <c r="A366" s="20">
        <v>9789356956452</v>
      </c>
      <c r="B366" t="s">
        <v>1865</v>
      </c>
      <c r="C366">
        <v>1</v>
      </c>
      <c r="D366">
        <v>190</v>
      </c>
    </row>
    <row r="367" spans="1:4" x14ac:dyDescent="0.3">
      <c r="A367" s="20">
        <v>9789395598385</v>
      </c>
      <c r="B367" t="s">
        <v>1879</v>
      </c>
      <c r="C367">
        <v>1</v>
      </c>
      <c r="D367">
        <v>350</v>
      </c>
    </row>
    <row r="368" spans="1:4" x14ac:dyDescent="0.3">
      <c r="A368" s="20">
        <v>9789395643955</v>
      </c>
      <c r="B368" t="s">
        <v>1884</v>
      </c>
      <c r="C368">
        <v>3</v>
      </c>
      <c r="D368">
        <v>240</v>
      </c>
    </row>
    <row r="369" spans="1:4" x14ac:dyDescent="0.3">
      <c r="A369" s="20">
        <v>9789395441995</v>
      </c>
      <c r="B369" t="s">
        <v>1886</v>
      </c>
      <c r="C369">
        <v>1</v>
      </c>
      <c r="D369">
        <v>220</v>
      </c>
    </row>
    <row r="370" spans="1:4" x14ac:dyDescent="0.3">
      <c r="A370" s="20">
        <v>9789395277761</v>
      </c>
      <c r="B370" t="s">
        <v>1890</v>
      </c>
      <c r="C370">
        <v>1</v>
      </c>
      <c r="D370">
        <v>150</v>
      </c>
    </row>
    <row r="371" spans="1:4" x14ac:dyDescent="0.3">
      <c r="A371" s="20">
        <v>9789395598392</v>
      </c>
      <c r="B371" t="s">
        <v>1896</v>
      </c>
      <c r="C371">
        <v>1</v>
      </c>
      <c r="D371">
        <v>140</v>
      </c>
    </row>
    <row r="372" spans="1:4" x14ac:dyDescent="0.3">
      <c r="A372" s="20">
        <v>9789395598422</v>
      </c>
      <c r="B372" t="s">
        <v>1900</v>
      </c>
      <c r="C372">
        <v>1</v>
      </c>
      <c r="D372">
        <v>330</v>
      </c>
    </row>
    <row r="373" spans="1:4" x14ac:dyDescent="0.3">
      <c r="A373" s="20">
        <v>9789395598330</v>
      </c>
      <c r="B373" t="s">
        <v>1902</v>
      </c>
      <c r="C373">
        <v>1</v>
      </c>
      <c r="D373">
        <v>170</v>
      </c>
    </row>
    <row r="374" spans="1:4" x14ac:dyDescent="0.3">
      <c r="A374" s="20">
        <v>9789395416542</v>
      </c>
      <c r="B374" t="s">
        <v>1908</v>
      </c>
      <c r="C374">
        <v>1</v>
      </c>
      <c r="D374">
        <v>250</v>
      </c>
    </row>
    <row r="375" spans="1:4" x14ac:dyDescent="0.3">
      <c r="A375" s="20">
        <v>9789356950894</v>
      </c>
      <c r="B375" t="s">
        <v>1912</v>
      </c>
      <c r="C375">
        <v>2</v>
      </c>
      <c r="D375">
        <v>300</v>
      </c>
    </row>
    <row r="376" spans="1:4" x14ac:dyDescent="0.3">
      <c r="A376" s="20">
        <v>9789359424705</v>
      </c>
      <c r="B376" t="s">
        <v>1920</v>
      </c>
      <c r="C376">
        <v>1</v>
      </c>
      <c r="D376">
        <v>180</v>
      </c>
    </row>
    <row r="377" spans="1:4" x14ac:dyDescent="0.3">
      <c r="A377" s="20">
        <v>9789395598347</v>
      </c>
      <c r="B377" t="s">
        <v>1922</v>
      </c>
      <c r="C377">
        <v>2</v>
      </c>
      <c r="D377">
        <v>140</v>
      </c>
    </row>
    <row r="378" spans="1:4" x14ac:dyDescent="0.3">
      <c r="A378" s="20">
        <v>9789395277747</v>
      </c>
      <c r="B378" t="s">
        <v>1928</v>
      </c>
      <c r="C378">
        <v>1</v>
      </c>
      <c r="D378">
        <v>220</v>
      </c>
    </row>
    <row r="379" spans="1:4" x14ac:dyDescent="0.3">
      <c r="A379" s="20">
        <v>9789356950863</v>
      </c>
      <c r="B379" t="s">
        <v>1936</v>
      </c>
      <c r="C379">
        <v>2</v>
      </c>
      <c r="D379">
        <v>240</v>
      </c>
    </row>
    <row r="380" spans="1:4" x14ac:dyDescent="0.3">
      <c r="A380" s="20">
        <v>9789395598323</v>
      </c>
      <c r="B380" t="s">
        <v>1938</v>
      </c>
      <c r="C380">
        <v>1</v>
      </c>
      <c r="D380">
        <v>230</v>
      </c>
    </row>
    <row r="381" spans="1:4" x14ac:dyDescent="0.3">
      <c r="A381" s="20">
        <v>9789395277792</v>
      </c>
      <c r="B381" t="s">
        <v>1940</v>
      </c>
      <c r="C381">
        <v>1</v>
      </c>
      <c r="D381">
        <v>370</v>
      </c>
    </row>
    <row r="382" spans="1:4" x14ac:dyDescent="0.3">
      <c r="A382" s="20">
        <v>9789395598361</v>
      </c>
      <c r="B382" t="s">
        <v>1948</v>
      </c>
      <c r="C382">
        <v>1</v>
      </c>
      <c r="D382">
        <v>270</v>
      </c>
    </row>
    <row r="383" spans="1:4" x14ac:dyDescent="0.3">
      <c r="A383" s="20">
        <v>9789395686808</v>
      </c>
      <c r="B383" t="s">
        <v>1950</v>
      </c>
      <c r="C383">
        <v>1</v>
      </c>
      <c r="D383">
        <v>310</v>
      </c>
    </row>
    <row r="384" spans="1:4" x14ac:dyDescent="0.3">
      <c r="A384" s="20">
        <v>9789395277815</v>
      </c>
      <c r="B384" t="s">
        <v>1952</v>
      </c>
      <c r="C384">
        <v>1</v>
      </c>
      <c r="D384">
        <v>300</v>
      </c>
    </row>
    <row r="385" spans="1:4" x14ac:dyDescent="0.3">
      <c r="A385" s="20">
        <v>9789395416528</v>
      </c>
      <c r="B385" t="s">
        <v>1956</v>
      </c>
      <c r="C385">
        <v>1</v>
      </c>
      <c r="D385">
        <v>280</v>
      </c>
    </row>
    <row r="386" spans="1:4" x14ac:dyDescent="0.3">
      <c r="A386" s="20">
        <v>9789395416597</v>
      </c>
      <c r="B386" t="s">
        <v>1962</v>
      </c>
      <c r="C386">
        <v>1</v>
      </c>
      <c r="D386">
        <v>420</v>
      </c>
    </row>
    <row r="387" spans="1:4" x14ac:dyDescent="0.3">
      <c r="A387" s="20">
        <v>9788198758941</v>
      </c>
      <c r="B387" t="s">
        <v>1969</v>
      </c>
      <c r="C387">
        <v>2</v>
      </c>
      <c r="D387">
        <v>380</v>
      </c>
    </row>
    <row r="388" spans="1:4" x14ac:dyDescent="0.3">
      <c r="A388" s="20">
        <v>9789394505940</v>
      </c>
      <c r="B388" t="s">
        <v>1971</v>
      </c>
      <c r="C388">
        <v>1</v>
      </c>
      <c r="D388">
        <v>220</v>
      </c>
    </row>
    <row r="389" spans="1:4" x14ac:dyDescent="0.3">
      <c r="A389" s="20">
        <v>9789395598071</v>
      </c>
      <c r="B389" t="s">
        <v>1973</v>
      </c>
      <c r="C389">
        <v>1</v>
      </c>
      <c r="D389">
        <v>280</v>
      </c>
    </row>
    <row r="390" spans="1:4" x14ac:dyDescent="0.3">
      <c r="A390" s="20">
        <v>9789394833548</v>
      </c>
      <c r="B390" t="s">
        <v>1975</v>
      </c>
      <c r="C390">
        <v>1</v>
      </c>
      <c r="D390">
        <v>120</v>
      </c>
    </row>
    <row r="391" spans="1:4" x14ac:dyDescent="0.3">
      <c r="A391" s="20">
        <v>9789394505100</v>
      </c>
      <c r="B391" t="s">
        <v>1977</v>
      </c>
      <c r="C391">
        <v>1</v>
      </c>
      <c r="D391">
        <v>290</v>
      </c>
    </row>
    <row r="392" spans="1:4" x14ac:dyDescent="0.3">
      <c r="A392" s="20">
        <v>9789394833623</v>
      </c>
      <c r="B392" t="s">
        <v>1981</v>
      </c>
      <c r="C392">
        <v>2</v>
      </c>
      <c r="D392">
        <v>130</v>
      </c>
    </row>
    <row r="393" spans="1:4" x14ac:dyDescent="0.3">
      <c r="A393" s="20">
        <v>9789394833579</v>
      </c>
      <c r="B393" t="s">
        <v>1985</v>
      </c>
      <c r="C393">
        <v>1</v>
      </c>
      <c r="D393">
        <v>300</v>
      </c>
    </row>
    <row r="394" spans="1:4" x14ac:dyDescent="0.3">
      <c r="A394" s="20">
        <v>9789395441865</v>
      </c>
      <c r="B394" t="s">
        <v>1989</v>
      </c>
      <c r="C394">
        <v>1</v>
      </c>
      <c r="D394">
        <v>110</v>
      </c>
    </row>
    <row r="395" spans="1:4" x14ac:dyDescent="0.3">
      <c r="A395" s="20">
        <v>9789395441766</v>
      </c>
      <c r="B395" t="s">
        <v>1991</v>
      </c>
      <c r="C395">
        <v>2</v>
      </c>
      <c r="D395">
        <v>70</v>
      </c>
    </row>
    <row r="396" spans="1:4" x14ac:dyDescent="0.3">
      <c r="A396" s="20">
        <v>9789395643474</v>
      </c>
      <c r="B396" t="s">
        <v>2025</v>
      </c>
      <c r="C396">
        <v>2</v>
      </c>
      <c r="D396">
        <v>270</v>
      </c>
    </row>
    <row r="397" spans="1:4" x14ac:dyDescent="0.3">
      <c r="A397" s="20">
        <v>9789359424163</v>
      </c>
      <c r="B397" t="s">
        <v>2029</v>
      </c>
      <c r="C397">
        <v>1</v>
      </c>
      <c r="D397">
        <v>410</v>
      </c>
    </row>
    <row r="398" spans="1:4" x14ac:dyDescent="0.3">
      <c r="A398" s="20">
        <v>9788119478057</v>
      </c>
      <c r="B398" t="s">
        <v>2037</v>
      </c>
      <c r="C398">
        <v>1</v>
      </c>
      <c r="D398">
        <v>260</v>
      </c>
    </row>
    <row r="399" spans="1:4" x14ac:dyDescent="0.3">
      <c r="A399" s="20">
        <v>9789356952980</v>
      </c>
      <c r="B399" t="s">
        <v>2049</v>
      </c>
      <c r="C399">
        <v>1</v>
      </c>
      <c r="D399">
        <v>60</v>
      </c>
    </row>
    <row r="400" spans="1:4" x14ac:dyDescent="0.3">
      <c r="A400" s="20">
        <v>9789394505438</v>
      </c>
      <c r="B400" t="s">
        <v>2051</v>
      </c>
      <c r="C400">
        <v>1</v>
      </c>
      <c r="D400">
        <v>170</v>
      </c>
    </row>
    <row r="401" spans="1:4" x14ac:dyDescent="0.3">
      <c r="A401" s="20">
        <v>9789356956254</v>
      </c>
      <c r="B401" t="s">
        <v>2061</v>
      </c>
      <c r="C401">
        <v>2</v>
      </c>
      <c r="D401">
        <v>210</v>
      </c>
    </row>
    <row r="402" spans="1:4" x14ac:dyDescent="0.3">
      <c r="A402" s="20">
        <v>9789395643504</v>
      </c>
      <c r="B402" t="s">
        <v>2065</v>
      </c>
      <c r="C402">
        <v>1</v>
      </c>
      <c r="D402">
        <v>220</v>
      </c>
    </row>
    <row r="403" spans="1:4" x14ac:dyDescent="0.3">
      <c r="A403" s="20">
        <v>9789356956179</v>
      </c>
      <c r="B403" t="s">
        <v>2090</v>
      </c>
      <c r="C403">
        <v>2</v>
      </c>
      <c r="D403">
        <v>210</v>
      </c>
    </row>
    <row r="404" spans="1:4" x14ac:dyDescent="0.3">
      <c r="A404" s="20">
        <v>9789395166744</v>
      </c>
      <c r="B404" t="s">
        <v>2094</v>
      </c>
      <c r="C404">
        <v>1</v>
      </c>
      <c r="D404">
        <v>300</v>
      </c>
    </row>
    <row r="405" spans="1:4" x14ac:dyDescent="0.3">
      <c r="A405" s="20">
        <v>9789356950153</v>
      </c>
      <c r="B405" t="s">
        <v>2100</v>
      </c>
      <c r="C405">
        <v>1</v>
      </c>
      <c r="D405">
        <v>150</v>
      </c>
    </row>
    <row r="406" spans="1:4" x14ac:dyDescent="0.3">
      <c r="A406" s="20">
        <v>9789395166911</v>
      </c>
      <c r="B406" t="s">
        <v>2104</v>
      </c>
      <c r="C406">
        <v>1</v>
      </c>
      <c r="D406">
        <v>90</v>
      </c>
    </row>
    <row r="407" spans="1:4" x14ac:dyDescent="0.3">
      <c r="A407" s="20">
        <v>9788119257423</v>
      </c>
      <c r="B407" t="s">
        <v>2109</v>
      </c>
      <c r="C407">
        <v>2</v>
      </c>
      <c r="D407">
        <v>120</v>
      </c>
    </row>
    <row r="408" spans="1:4" x14ac:dyDescent="0.3">
      <c r="A408" s="20">
        <v>9789349679573</v>
      </c>
      <c r="B408" t="s">
        <v>2119</v>
      </c>
      <c r="C408">
        <v>2</v>
      </c>
      <c r="D408">
        <v>160</v>
      </c>
    </row>
    <row r="409" spans="1:4" x14ac:dyDescent="0.3">
      <c r="A409" s="20">
        <v>9789359426778</v>
      </c>
      <c r="B409" t="s">
        <v>2121</v>
      </c>
      <c r="C409">
        <v>1</v>
      </c>
      <c r="D409">
        <v>160</v>
      </c>
    </row>
    <row r="410" spans="1:4" x14ac:dyDescent="0.3">
      <c r="A410" s="20">
        <v>9789359426648</v>
      </c>
      <c r="B410" t="s">
        <v>2129</v>
      </c>
      <c r="C410">
        <v>1</v>
      </c>
      <c r="D410">
        <v>90</v>
      </c>
    </row>
    <row r="411" spans="1:4" x14ac:dyDescent="0.3">
      <c r="A411" s="20">
        <v>9789359422619</v>
      </c>
      <c r="B411" t="s">
        <v>2131</v>
      </c>
      <c r="C411">
        <v>2</v>
      </c>
      <c r="D411">
        <v>100</v>
      </c>
    </row>
    <row r="412" spans="1:4" x14ac:dyDescent="0.3">
      <c r="A412" s="20">
        <v>9789359423197</v>
      </c>
      <c r="B412" t="s">
        <v>2133</v>
      </c>
      <c r="C412">
        <v>2</v>
      </c>
      <c r="D412">
        <v>160</v>
      </c>
    </row>
    <row r="413" spans="1:4" x14ac:dyDescent="0.3">
      <c r="A413" s="20">
        <v>9789359428123</v>
      </c>
      <c r="B413" t="s">
        <v>2137</v>
      </c>
      <c r="C413">
        <v>1</v>
      </c>
      <c r="D413">
        <v>140</v>
      </c>
    </row>
    <row r="414" spans="1:4" x14ac:dyDescent="0.3">
      <c r="A414" s="20">
        <v>9789359425214</v>
      </c>
      <c r="B414" t="s">
        <v>2139</v>
      </c>
      <c r="C414">
        <v>2</v>
      </c>
      <c r="D414">
        <v>110</v>
      </c>
    </row>
    <row r="415" spans="1:4" x14ac:dyDescent="0.3">
      <c r="A415" s="20">
        <v>9789349330702</v>
      </c>
      <c r="B415" t="s">
        <v>2141</v>
      </c>
      <c r="C415">
        <v>1</v>
      </c>
      <c r="D415">
        <v>110</v>
      </c>
    </row>
    <row r="416" spans="1:4" x14ac:dyDescent="0.3">
      <c r="A416" s="7" t="s">
        <v>2370</v>
      </c>
      <c r="B416" s="7" t="s">
        <v>2151</v>
      </c>
      <c r="C416">
        <v>2</v>
      </c>
      <c r="D416">
        <v>200</v>
      </c>
    </row>
    <row r="417" spans="1:4" x14ac:dyDescent="0.3">
      <c r="A417" s="7" t="s">
        <v>2371</v>
      </c>
      <c r="B417" s="7" t="s">
        <v>2153</v>
      </c>
      <c r="C417">
        <v>1</v>
      </c>
      <c r="D417">
        <v>220</v>
      </c>
    </row>
    <row r="418" spans="1:4" ht="25.5" x14ac:dyDescent="0.3">
      <c r="A418" s="7" t="s">
        <v>2372</v>
      </c>
      <c r="B418" s="7" t="s">
        <v>2157</v>
      </c>
      <c r="C418">
        <v>2</v>
      </c>
      <c r="D418">
        <v>350</v>
      </c>
    </row>
    <row r="419" spans="1:4" x14ac:dyDescent="0.3">
      <c r="A419" s="7" t="s">
        <v>2373</v>
      </c>
      <c r="B419" s="7" t="s">
        <v>2163</v>
      </c>
      <c r="C419">
        <v>2</v>
      </c>
      <c r="D419">
        <v>280</v>
      </c>
    </row>
    <row r="420" spans="1:4" ht="25.5" x14ac:dyDescent="0.3">
      <c r="A420" s="7" t="s">
        <v>2374</v>
      </c>
      <c r="B420" s="7" t="s">
        <v>2165</v>
      </c>
      <c r="C420">
        <v>2</v>
      </c>
      <c r="D420">
        <v>260</v>
      </c>
    </row>
    <row r="421" spans="1:4" ht="25.5" x14ac:dyDescent="0.3">
      <c r="A421" s="7" t="s">
        <v>2375</v>
      </c>
      <c r="B421" s="7" t="s">
        <v>2169</v>
      </c>
      <c r="C421">
        <v>1</v>
      </c>
      <c r="D421">
        <v>230</v>
      </c>
    </row>
    <row r="422" spans="1:4" ht="38.25" x14ac:dyDescent="0.3">
      <c r="A422" s="7" t="s">
        <v>2376</v>
      </c>
      <c r="B422" s="7" t="s">
        <v>2171</v>
      </c>
      <c r="C422">
        <v>2</v>
      </c>
      <c r="D422">
        <v>370</v>
      </c>
    </row>
    <row r="423" spans="1:4" x14ac:dyDescent="0.3">
      <c r="A423" s="7" t="s">
        <v>2377</v>
      </c>
      <c r="B423" s="7" t="s">
        <v>2179</v>
      </c>
      <c r="C423">
        <v>2</v>
      </c>
      <c r="D423">
        <v>450</v>
      </c>
    </row>
    <row r="424" spans="1:4" x14ac:dyDescent="0.3">
      <c r="A424" s="7" t="s">
        <v>2378</v>
      </c>
      <c r="B424" s="7" t="s">
        <v>2181</v>
      </c>
      <c r="C424">
        <v>1</v>
      </c>
      <c r="D424">
        <v>395</v>
      </c>
    </row>
    <row r="425" spans="1:4" ht="38.25" x14ac:dyDescent="0.3">
      <c r="A425" s="7" t="s">
        <v>2379</v>
      </c>
      <c r="B425" s="7" t="s">
        <v>2189</v>
      </c>
      <c r="C425">
        <v>1</v>
      </c>
      <c r="D425">
        <v>300</v>
      </c>
    </row>
    <row r="426" spans="1:4" ht="25.5" x14ac:dyDescent="0.3">
      <c r="A426" s="7" t="s">
        <v>2380</v>
      </c>
      <c r="B426" s="7" t="s">
        <v>2197</v>
      </c>
      <c r="C426">
        <v>1</v>
      </c>
      <c r="D426">
        <v>240</v>
      </c>
    </row>
    <row r="427" spans="1:4" x14ac:dyDescent="0.3">
      <c r="A427" s="7" t="s">
        <v>2381</v>
      </c>
      <c r="B427" s="7" t="s">
        <v>2201</v>
      </c>
      <c r="C427">
        <v>2</v>
      </c>
      <c r="D427">
        <v>230</v>
      </c>
    </row>
    <row r="428" spans="1:4" ht="25.5" x14ac:dyDescent="0.3">
      <c r="A428" s="7" t="s">
        <v>2382</v>
      </c>
      <c r="B428" s="7" t="s">
        <v>2203</v>
      </c>
      <c r="C428">
        <v>2</v>
      </c>
      <c r="D428">
        <v>265</v>
      </c>
    </row>
    <row r="429" spans="1:4" ht="25.5" x14ac:dyDescent="0.3">
      <c r="A429" s="7" t="s">
        <v>2383</v>
      </c>
      <c r="B429" s="7" t="s">
        <v>2205</v>
      </c>
      <c r="C429">
        <v>2</v>
      </c>
      <c r="D429">
        <v>285</v>
      </c>
    </row>
    <row r="430" spans="1:4" ht="25.5" x14ac:dyDescent="0.3">
      <c r="A430" s="7" t="s">
        <v>2384</v>
      </c>
      <c r="B430" s="7" t="s">
        <v>2207</v>
      </c>
      <c r="C430">
        <v>2</v>
      </c>
      <c r="D430">
        <v>360</v>
      </c>
    </row>
    <row r="431" spans="1:4" x14ac:dyDescent="0.3">
      <c r="A431" s="7" t="s">
        <v>2385</v>
      </c>
      <c r="B431" s="7" t="s">
        <v>2209</v>
      </c>
      <c r="C431">
        <v>1</v>
      </c>
      <c r="D431">
        <v>260</v>
      </c>
    </row>
    <row r="432" spans="1:4" x14ac:dyDescent="0.3">
      <c r="A432" s="7" t="s">
        <v>2386</v>
      </c>
      <c r="B432" s="7" t="s">
        <v>2211</v>
      </c>
      <c r="C432">
        <v>2</v>
      </c>
      <c r="D432">
        <v>325</v>
      </c>
    </row>
    <row r="433" spans="1:4" x14ac:dyDescent="0.3">
      <c r="A433" s="7" t="s">
        <v>2387</v>
      </c>
      <c r="B433" s="7" t="s">
        <v>2213</v>
      </c>
      <c r="C433">
        <v>1</v>
      </c>
      <c r="D433">
        <v>225</v>
      </c>
    </row>
    <row r="434" spans="1:4" ht="25.5" x14ac:dyDescent="0.3">
      <c r="A434" s="7" t="s">
        <v>2388</v>
      </c>
      <c r="B434" s="7" t="s">
        <v>2215</v>
      </c>
      <c r="C434">
        <v>1</v>
      </c>
      <c r="D434">
        <v>200</v>
      </c>
    </row>
    <row r="435" spans="1:4" ht="25.5" x14ac:dyDescent="0.3">
      <c r="A435" s="7" t="s">
        <v>2389</v>
      </c>
      <c r="B435" s="7" t="s">
        <v>2217</v>
      </c>
      <c r="C435">
        <v>1</v>
      </c>
      <c r="D435">
        <v>250</v>
      </c>
    </row>
    <row r="436" spans="1:4" x14ac:dyDescent="0.3">
      <c r="A436" s="7" t="s">
        <v>2390</v>
      </c>
      <c r="B436" s="7" t="s">
        <v>2219</v>
      </c>
      <c r="C436">
        <v>1</v>
      </c>
      <c r="D436">
        <v>375</v>
      </c>
    </row>
    <row r="437" spans="1:4" x14ac:dyDescent="0.3">
      <c r="A437" s="7" t="s">
        <v>2391</v>
      </c>
      <c r="B437" s="7" t="s">
        <v>2221</v>
      </c>
      <c r="C437">
        <v>1</v>
      </c>
      <c r="D437">
        <v>250</v>
      </c>
    </row>
    <row r="438" spans="1:4" ht="25.5" x14ac:dyDescent="0.3">
      <c r="A438" s="7" t="s">
        <v>2392</v>
      </c>
      <c r="B438" s="7" t="s">
        <v>2223</v>
      </c>
      <c r="C438">
        <v>1</v>
      </c>
      <c r="D438">
        <v>225</v>
      </c>
    </row>
    <row r="439" spans="1:4" x14ac:dyDescent="0.3">
      <c r="A439" s="7" t="s">
        <v>2393</v>
      </c>
      <c r="B439" s="7" t="s">
        <v>2225</v>
      </c>
      <c r="C439">
        <v>1</v>
      </c>
      <c r="D439">
        <v>260</v>
      </c>
    </row>
    <row r="440" spans="1:4" ht="38.25" x14ac:dyDescent="0.3">
      <c r="A440" s="7" t="s">
        <v>2394</v>
      </c>
      <c r="B440" s="7" t="s">
        <v>2227</v>
      </c>
      <c r="C440">
        <v>1</v>
      </c>
      <c r="D440">
        <v>210</v>
      </c>
    </row>
    <row r="441" spans="1:4" ht="38.25" x14ac:dyDescent="0.3">
      <c r="A441" s="7" t="s">
        <v>2395</v>
      </c>
      <c r="B441" s="7" t="s">
        <v>2229</v>
      </c>
      <c r="C441">
        <v>1</v>
      </c>
      <c r="D441">
        <v>260</v>
      </c>
    </row>
    <row r="442" spans="1:4" x14ac:dyDescent="0.3">
      <c r="A442" s="7" t="s">
        <v>2396</v>
      </c>
      <c r="B442" s="7" t="s">
        <v>2231</v>
      </c>
      <c r="C442">
        <v>2</v>
      </c>
      <c r="D442">
        <v>250</v>
      </c>
    </row>
    <row r="443" spans="1:4" ht="25.5" x14ac:dyDescent="0.3">
      <c r="A443" s="7" t="s">
        <v>2397</v>
      </c>
      <c r="B443" s="7" t="s">
        <v>2233</v>
      </c>
      <c r="C443">
        <v>1</v>
      </c>
      <c r="D443">
        <v>230</v>
      </c>
    </row>
    <row r="444" spans="1:4" x14ac:dyDescent="0.3">
      <c r="A444" s="7" t="s">
        <v>2398</v>
      </c>
      <c r="B444" s="7" t="s">
        <v>2235</v>
      </c>
      <c r="C444">
        <v>2</v>
      </c>
      <c r="D444">
        <v>225</v>
      </c>
    </row>
    <row r="445" spans="1:4" ht="25.5" x14ac:dyDescent="0.3">
      <c r="A445" s="7" t="s">
        <v>2399</v>
      </c>
      <c r="B445" s="7" t="s">
        <v>2237</v>
      </c>
      <c r="C445">
        <v>1</v>
      </c>
      <c r="D445">
        <v>195</v>
      </c>
    </row>
    <row r="446" spans="1:4" ht="25.5" x14ac:dyDescent="0.3">
      <c r="A446" s="7" t="s">
        <v>2400</v>
      </c>
      <c r="B446" s="7" t="s">
        <v>2243</v>
      </c>
      <c r="C446">
        <v>1</v>
      </c>
      <c r="D446">
        <v>220</v>
      </c>
    </row>
    <row r="447" spans="1:4" ht="25.5" x14ac:dyDescent="0.3">
      <c r="A447" s="7" t="s">
        <v>2401</v>
      </c>
      <c r="B447" s="7" t="s">
        <v>2247</v>
      </c>
      <c r="C447">
        <v>1</v>
      </c>
      <c r="D447">
        <v>270</v>
      </c>
    </row>
    <row r="448" spans="1:4" ht="25.5" x14ac:dyDescent="0.3">
      <c r="A448" s="7" t="s">
        <v>2402</v>
      </c>
      <c r="B448" s="7" t="s">
        <v>2253</v>
      </c>
      <c r="C448">
        <v>1</v>
      </c>
      <c r="D448">
        <v>190</v>
      </c>
    </row>
    <row r="449" spans="1:4" x14ac:dyDescent="0.3">
      <c r="A449" s="7" t="s">
        <v>2403</v>
      </c>
      <c r="B449" s="7" t="s">
        <v>2257</v>
      </c>
      <c r="C449">
        <v>2</v>
      </c>
      <c r="D449">
        <v>190</v>
      </c>
    </row>
    <row r="450" spans="1:4" x14ac:dyDescent="0.3">
      <c r="A450" s="7" t="s">
        <v>2404</v>
      </c>
      <c r="B450" s="7" t="s">
        <v>2261</v>
      </c>
      <c r="C450">
        <v>1</v>
      </c>
      <c r="D450">
        <v>295</v>
      </c>
    </row>
    <row r="451" spans="1:4" x14ac:dyDescent="0.3">
      <c r="A451" s="7" t="s">
        <v>2405</v>
      </c>
      <c r="B451" s="7" t="s">
        <v>2263</v>
      </c>
      <c r="C451">
        <v>2</v>
      </c>
      <c r="D451">
        <v>395</v>
      </c>
    </row>
    <row r="452" spans="1:4" ht="25.5" x14ac:dyDescent="0.3">
      <c r="A452" s="7" t="s">
        <v>2406</v>
      </c>
      <c r="B452" s="7" t="s">
        <v>2265</v>
      </c>
      <c r="C452">
        <v>1</v>
      </c>
      <c r="D452">
        <v>220</v>
      </c>
    </row>
    <row r="453" spans="1:4" ht="25.5" x14ac:dyDescent="0.3">
      <c r="A453" s="7" t="s">
        <v>2407</v>
      </c>
      <c r="B453" s="7" t="s">
        <v>2267</v>
      </c>
      <c r="C453">
        <v>2</v>
      </c>
      <c r="D453">
        <v>210</v>
      </c>
    </row>
    <row r="454" spans="1:4" ht="25.5" x14ac:dyDescent="0.3">
      <c r="A454" s="7" t="s">
        <v>2408</v>
      </c>
      <c r="B454" s="7" t="s">
        <v>2273</v>
      </c>
      <c r="C454">
        <v>2</v>
      </c>
      <c r="D454">
        <v>240</v>
      </c>
    </row>
    <row r="455" spans="1:4" x14ac:dyDescent="0.3">
      <c r="A455" s="7" t="s">
        <v>2409</v>
      </c>
      <c r="B455" s="7" t="s">
        <v>2275</v>
      </c>
      <c r="C455">
        <v>1</v>
      </c>
      <c r="D455">
        <v>220</v>
      </c>
    </row>
    <row r="456" spans="1:4" ht="25.5" x14ac:dyDescent="0.3">
      <c r="A456" s="7" t="s">
        <v>2410</v>
      </c>
      <c r="B456" s="7" t="s">
        <v>2279</v>
      </c>
      <c r="C456">
        <v>1</v>
      </c>
      <c r="D456">
        <v>225</v>
      </c>
    </row>
    <row r="457" spans="1:4" ht="25.5" x14ac:dyDescent="0.3">
      <c r="A457" s="7" t="s">
        <v>2411</v>
      </c>
      <c r="B457" s="7" t="s">
        <v>2281</v>
      </c>
      <c r="C457">
        <v>2</v>
      </c>
      <c r="D457">
        <v>250</v>
      </c>
    </row>
    <row r="458" spans="1:4" ht="25.5" x14ac:dyDescent="0.3">
      <c r="A458" s="7" t="s">
        <v>2412</v>
      </c>
      <c r="B458" s="7" t="s">
        <v>2283</v>
      </c>
      <c r="C458">
        <v>2</v>
      </c>
      <c r="D458">
        <v>215</v>
      </c>
    </row>
    <row r="459" spans="1:4" ht="25.5" x14ac:dyDescent="0.3">
      <c r="A459" s="7" t="s">
        <v>2413</v>
      </c>
      <c r="B459" s="7" t="s">
        <v>2285</v>
      </c>
      <c r="C459">
        <v>1</v>
      </c>
      <c r="D459">
        <v>230</v>
      </c>
    </row>
    <row r="460" spans="1:4" ht="25.5" x14ac:dyDescent="0.3">
      <c r="A460" s="7" t="s">
        <v>2414</v>
      </c>
      <c r="B460" s="7" t="s">
        <v>2291</v>
      </c>
      <c r="C460">
        <v>2</v>
      </c>
      <c r="D460">
        <v>260</v>
      </c>
    </row>
    <row r="461" spans="1:4" ht="25.5" x14ac:dyDescent="0.3">
      <c r="A461" s="7" t="s">
        <v>2415</v>
      </c>
      <c r="B461" s="7" t="s">
        <v>2293</v>
      </c>
      <c r="C461">
        <v>1</v>
      </c>
      <c r="D461">
        <v>200</v>
      </c>
    </row>
    <row r="462" spans="1:4" x14ac:dyDescent="0.3">
      <c r="A462" s="7" t="s">
        <v>2416</v>
      </c>
      <c r="B462" s="7" t="s">
        <v>2297</v>
      </c>
      <c r="C462">
        <v>1</v>
      </c>
      <c r="D462">
        <v>190</v>
      </c>
    </row>
    <row r="463" spans="1:4" x14ac:dyDescent="0.3">
      <c r="A463" s="7" t="s">
        <v>2417</v>
      </c>
      <c r="B463" s="7" t="s">
        <v>2299</v>
      </c>
      <c r="C463">
        <v>1</v>
      </c>
      <c r="D463">
        <v>330</v>
      </c>
    </row>
    <row r="464" spans="1:4" ht="25.5" x14ac:dyDescent="0.3">
      <c r="A464" s="7" t="s">
        <v>2418</v>
      </c>
      <c r="B464" s="7" t="s">
        <v>2303</v>
      </c>
      <c r="C464">
        <v>1</v>
      </c>
      <c r="D464">
        <v>350</v>
      </c>
    </row>
    <row r="465" spans="1:4" ht="38.25" x14ac:dyDescent="0.3">
      <c r="A465" s="7" t="s">
        <v>2419</v>
      </c>
      <c r="B465" s="7" t="s">
        <v>2307</v>
      </c>
      <c r="C465">
        <v>1</v>
      </c>
      <c r="D465">
        <v>350</v>
      </c>
    </row>
    <row r="466" spans="1:4" x14ac:dyDescent="0.3">
      <c r="A466" s="7" t="s">
        <v>2420</v>
      </c>
      <c r="B466" s="7" t="s">
        <v>2309</v>
      </c>
      <c r="C466">
        <v>1</v>
      </c>
      <c r="D466">
        <v>280</v>
      </c>
    </row>
    <row r="467" spans="1:4" ht="25.5" x14ac:dyDescent="0.3">
      <c r="A467" s="7" t="s">
        <v>2421</v>
      </c>
      <c r="B467" s="7" t="s">
        <v>2311</v>
      </c>
      <c r="C467">
        <v>1</v>
      </c>
      <c r="D467">
        <v>270</v>
      </c>
    </row>
    <row r="468" spans="1:4" x14ac:dyDescent="0.3">
      <c r="A468" s="7" t="s">
        <v>2422</v>
      </c>
      <c r="B468" s="7" t="s">
        <v>2317</v>
      </c>
      <c r="C468">
        <v>1</v>
      </c>
      <c r="D468">
        <v>330</v>
      </c>
    </row>
    <row r="469" spans="1:4" x14ac:dyDescent="0.3">
      <c r="A469" s="7" t="s">
        <v>2423</v>
      </c>
      <c r="B469" s="7" t="s">
        <v>2319</v>
      </c>
      <c r="C469">
        <v>1</v>
      </c>
      <c r="D469">
        <v>300</v>
      </c>
    </row>
    <row r="470" spans="1:4" ht="25.5" x14ac:dyDescent="0.3">
      <c r="A470" s="7" t="s">
        <v>2424</v>
      </c>
      <c r="B470" s="7" t="s">
        <v>2321</v>
      </c>
      <c r="C470">
        <v>1</v>
      </c>
      <c r="D470">
        <v>250</v>
      </c>
    </row>
    <row r="471" spans="1:4" x14ac:dyDescent="0.3">
      <c r="A471" s="7" t="s">
        <v>2425</v>
      </c>
      <c r="B471" s="7" t="s">
        <v>2323</v>
      </c>
      <c r="C471">
        <v>2</v>
      </c>
      <c r="D471">
        <v>350</v>
      </c>
    </row>
    <row r="472" spans="1:4" x14ac:dyDescent="0.3">
      <c r="A472" s="7" t="s">
        <v>2426</v>
      </c>
      <c r="B472" s="7" t="s">
        <v>2325</v>
      </c>
      <c r="C472">
        <v>1</v>
      </c>
      <c r="D472">
        <v>430</v>
      </c>
    </row>
    <row r="473" spans="1:4" ht="25.5" x14ac:dyDescent="0.3">
      <c r="A473" s="7" t="s">
        <v>2427</v>
      </c>
      <c r="B473" s="7" t="s">
        <v>2329</v>
      </c>
      <c r="C473">
        <v>2</v>
      </c>
      <c r="D473">
        <v>375</v>
      </c>
    </row>
    <row r="474" spans="1:4" x14ac:dyDescent="0.3">
      <c r="A474" s="7" t="s">
        <v>2428</v>
      </c>
      <c r="B474" s="7" t="s">
        <v>2333</v>
      </c>
      <c r="C474">
        <v>2</v>
      </c>
      <c r="D474">
        <v>240</v>
      </c>
    </row>
    <row r="475" spans="1:4" x14ac:dyDescent="0.3">
      <c r="A475" s="7" t="s">
        <v>2429</v>
      </c>
      <c r="B475" s="7" t="s">
        <v>2335</v>
      </c>
      <c r="C475">
        <v>2</v>
      </c>
      <c r="D475">
        <v>300</v>
      </c>
    </row>
    <row r="476" spans="1:4" ht="25.5" x14ac:dyDescent="0.3">
      <c r="A476" s="7" t="s">
        <v>2430</v>
      </c>
      <c r="B476" s="7" t="s">
        <v>2337</v>
      </c>
      <c r="C476">
        <v>1</v>
      </c>
      <c r="D47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Packing list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Pustaka</dc:creator>
  <cp:lastModifiedBy>Pustaka India Pvt Ltd</cp:lastModifiedBy>
  <cp:revision>3</cp:revision>
  <dcterms:created xsi:type="dcterms:W3CDTF">2025-12-08T05:36:01Z</dcterms:created>
  <dcterms:modified xsi:type="dcterms:W3CDTF">2026-01-01T09:20:39Z</dcterms:modified>
</cp:coreProperties>
</file>